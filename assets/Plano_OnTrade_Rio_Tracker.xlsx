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Contas &amp; Rota" sheetId="2" state="visible" r:id="rId4"/>
    <sheet name="Contratos" sheetId="3" state="visible" r:id="rId5"/>
    <sheet name="Tailor Made &amp; Projetos" sheetId="4" state="visible" r:id="rId6"/>
    <sheet name="Account Excellence" sheetId="5" state="visible" r:id="rId7"/>
    <sheet name="Tracker de Decisões" sheetId="6" state="visible" r:id="rId8"/>
    <sheet name="BAM Rio (base)" sheetId="7" state="visible" r:id="rId9"/>
    <sheet name="Radar ON6 Rio" sheetId="8" state="visible" r:id="rId10"/>
    <sheet name="Carteira Julia" sheetId="9" state="visible" r:id="rId11"/>
    <sheet name="Rota Semanal" sheetId="10" state="visible" r:id="rId12"/>
    <sheet name="Aprovação Contratos" sheetId="11" state="visible" r:id="rId13"/>
    <sheet name="Parâmetros Contrato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<sst xmlns="http://schemas.openxmlformats.org/spreadsheetml/2006/main" count="2559" uniqueCount="651">
  <si>
    <t xml:space="preserve">PLANO ON-TRADE RIO — FONTE ÚNICA DE PLANEJAMENTO</t>
  </si>
  <si>
    <t xml:space="preserve">Ago–Dez 2026 · documento de trabalho do time · preencher e atualizar na cadência semanal (WAR Rio)</t>
  </si>
  <si>
    <t xml:space="preserve">Como usar</t>
  </si>
  <si>
    <t xml:space="preserve">•</t>
  </si>
  <si>
    <t xml:space="preserve">As células em AMARELO são as que o time preenche. As brancas são referência já vinda do plano.</t>
  </si>
  <si>
    <t xml:space="preserve">Colunas com seta (▾) têm lista suspensa — clique e escolha, não digite livre.</t>
  </si>
  <si>
    <t xml:space="preserve">Cada linha precisa terminar com: estágio, próximo passo, prazo e — quando aplicável — decisão.</t>
  </si>
  <si>
    <t xml:space="preserve">Regra de decisão: toda iniciativa fecha em Manter, Corrigir, Escalar, Renegociar ou Parar.</t>
  </si>
  <si>
    <t xml:space="preserve">Nada vira compromisso oficial sem owner, prazo, orçamento e evidência.</t>
  </si>
  <si>
    <t xml:space="preserve">A primeira linha de cada aba é um EXEMPLO (fundo bege) — apague antes de usar de verdade.</t>
  </si>
  <si>
    <t xml:space="preserve">Legenda de status</t>
  </si>
  <si>
    <t xml:space="preserve">CONFIRMADO</t>
  </si>
  <si>
    <t xml:space="preserve">Decisão tomada, contrato ou informação formal — executar.</t>
  </si>
  <si>
    <t xml:space="preserve">ALINHADO</t>
  </si>
  <si>
    <t xml:space="preserve">Direcionamento acordado, falta formalizar — planejar e confirmar.</t>
  </si>
  <si>
    <t xml:space="preserve">EM NEGOCIAÇÃO</t>
  </si>
  <si>
    <t xml:space="preserve">Conversa ativa com casa/parceiro — manter owner e próximo passo.</t>
  </si>
  <si>
    <t xml:space="preserve">EM AVALIAÇÃO</t>
  </si>
  <si>
    <t xml:space="preserve">Alternativa considerada, ainda não escolhida — comparar e decidir.</t>
  </si>
  <si>
    <t xml:space="preserve">HIPÓTESE</t>
  </si>
  <si>
    <t xml:space="preserve">Recomendação para análise — testar antes de oficializar.</t>
  </si>
  <si>
    <t xml:space="preserve">PENDENTE DE DADOS</t>
  </si>
  <si>
    <t xml:space="preserve">Falta volume, custo, contrato ou evidência — não escalar.</t>
  </si>
  <si>
    <t xml:space="preserve">Ownership</t>
  </si>
  <si>
    <t xml:space="preserve">Business Owner</t>
  </si>
  <si>
    <t xml:space="preserve">Casa, volume, contrapartidas, recompra e resultado comercial.</t>
  </si>
  <si>
    <t xml:space="preserve">Brand Owner</t>
  </si>
  <si>
    <t xml:space="preserve">Conceito, experiência, linguagem, comunidade e conteúdo.</t>
  </si>
  <si>
    <t xml:space="preserve">Project Owner</t>
  </si>
  <si>
    <t xml:space="preserve">Cronograma, integração, produção, execução e fechamento.</t>
  </si>
  <si>
    <t xml:space="preserve">Painel — contas por status</t>
  </si>
  <si>
    <t xml:space="preserve">Total de contas</t>
  </si>
  <si>
    <t xml:space="preserve">Abas de execução (novas)</t>
  </si>
  <si>
    <t xml:space="preserve">Radar ON6 Rio</t>
  </si>
  <si>
    <t xml:space="preserve">Contas ranqueadas por Gap ON6 com ação sugerida (dados reais do BAM).</t>
  </si>
  <si>
    <t xml:space="preserve">Rota Semanal</t>
  </si>
  <si>
    <t xml:space="preserve">Planejador de rota seg–sex; o BA escolhe os focos a partir do Radar.</t>
  </si>
  <si>
    <t xml:space="preserve">Pipeline Contratos</t>
  </si>
  <si>
    <t xml:space="preserve">Funil CT-### (Mapeado→Fechado) + faixas de volume e investimento.</t>
  </si>
  <si>
    <t xml:space="preserve">Aprovação Contratos</t>
  </si>
  <si>
    <t xml:space="preserve">Calculadora de investimento (R$20/R$30/gfa, 25% TM) + pipeline RJ+SP pré-carregado.</t>
  </si>
  <si>
    <t xml:space="preserve">Parâmetros Contrato</t>
  </si>
  <si>
    <t xml:space="preserve">Perfis, energia, prioridade, faixas de volume e arquétipos de investimento.</t>
  </si>
  <si>
    <t xml:space="preserve">Carteira Julia</t>
  </si>
  <si>
    <t xml:space="preserve">52 contas do Rio (base "Amanda Vanderlei" no sistema) que a Julia assume ao entrar na vaga de BA Rio.</t>
  </si>
  <si>
    <t xml:space="preserve">IDENTIDADE</t>
  </si>
  <si>
    <t xml:space="preserve">NEGÓCIO</t>
  </si>
  <si>
    <t xml:space="preserve">GESTÃO</t>
  </si>
  <si>
    <t xml:space="preserve">Conta</t>
  </si>
  <si>
    <t xml:space="preserve">Frente ▾</t>
  </si>
  <si>
    <t xml:space="preserve">Território / bairro</t>
  </si>
  <si>
    <t xml:space="preserve">Papel ▾</t>
  </si>
  <si>
    <t xml:space="preserve">Owner ▾</t>
  </si>
  <si>
    <t xml:space="preserve">Status ▾</t>
  </si>
  <si>
    <t xml:space="preserve">Volume atual (gf/mês)</t>
  </si>
  <si>
    <t xml:space="preserve">Potencial (gf/mês)</t>
  </si>
  <si>
    <t xml:space="preserve">Contrato ▾</t>
  </si>
  <si>
    <t xml:space="preserve">Investimento</t>
  </si>
  <si>
    <t xml:space="preserve">Custo/gf</t>
  </si>
  <si>
    <t xml:space="preserve">Estágio ▾</t>
  </si>
  <si>
    <t xml:space="preserve">Próximo passo</t>
  </si>
  <si>
    <t xml:space="preserve">Prazo</t>
  </si>
  <si>
    <t xml:space="preserve">Decisão ▾</t>
  </si>
  <si>
    <t xml:space="preserve">(exemplo) Casa X</t>
  </si>
  <si>
    <t xml:space="preserve">Hotzone</t>
  </si>
  <si>
    <t xml:space="preserve">Botafogo</t>
  </si>
  <si>
    <t xml:space="preserve">Conversão</t>
  </si>
  <si>
    <t xml:space="preserve">Julia</t>
  </si>
  <si>
    <t xml:space="preserve">Não</t>
  </si>
  <si>
    <t xml:space="preserve">Negociação</t>
  </si>
  <si>
    <t xml:space="preserve">Fechar cardápio e treino de brigada</t>
  </si>
  <si>
    <t xml:space="preserve">30/08/2026</t>
  </si>
  <si>
    <t xml:space="preserve">Escalar</t>
  </si>
  <si>
    <t xml:space="preserve">Bosque Bar</t>
  </si>
  <si>
    <t xml:space="preserve">Castelo</t>
  </si>
  <si>
    <t xml:space="preserve">Gávea</t>
  </si>
  <si>
    <t xml:space="preserve">Volume</t>
  </si>
  <si>
    <t xml:space="preserve">Jerry</t>
  </si>
  <si>
    <t xml:space="preserve">Sim</t>
  </si>
  <si>
    <t xml:space="preserve">Aldeia Lagoa</t>
  </si>
  <si>
    <t xml:space="preserve">Lagoa</t>
  </si>
  <si>
    <t xml:space="preserve">Âncora</t>
  </si>
  <si>
    <t xml:space="preserve">Caza Lagoa</t>
  </si>
  <si>
    <t xml:space="preserve">Elena</t>
  </si>
  <si>
    <t xml:space="preserve">Horto</t>
  </si>
  <si>
    <t xml:space="preserve">Imagem</t>
  </si>
  <si>
    <t xml:space="preserve">Eleninha</t>
  </si>
  <si>
    <t xml:space="preserve">Parque Bar</t>
  </si>
  <si>
    <t xml:space="preserve">Araá</t>
  </si>
  <si>
    <t xml:space="preserve">Área Turística</t>
  </si>
  <si>
    <t xml:space="preserve">Morro da Urca</t>
  </si>
  <si>
    <t xml:space="preserve">D-Edge Rio</t>
  </si>
  <si>
    <t xml:space="preserve">Alta energia</t>
  </si>
  <si>
    <t xml:space="preserve">Saúde</t>
  </si>
  <si>
    <t xml:space="preserve">Escuta</t>
  </si>
  <si>
    <t xml:space="preserve">Cena</t>
  </si>
  <si>
    <t xml:space="preserve">Fala</t>
  </si>
  <si>
    <t xml:space="preserve">—</t>
  </si>
  <si>
    <t xml:space="preserve">Chora Café</t>
  </si>
  <si>
    <t xml:space="preserve">Destilaria Maravilha</t>
  </si>
  <si>
    <t xml:space="preserve">Rua do Senado</t>
  </si>
  <si>
    <t xml:space="preserve">Ritual</t>
  </si>
  <si>
    <t xml:space="preserve">Mercado Central</t>
  </si>
  <si>
    <t xml:space="preserve">Pato com Laranja</t>
  </si>
  <si>
    <t xml:space="preserve">Orla</t>
  </si>
  <si>
    <t xml:space="preserve">Leblon</t>
  </si>
  <si>
    <t xml:space="preserve">Soga Beach</t>
  </si>
  <si>
    <t xml:space="preserve">São Conrado</t>
  </si>
  <si>
    <t xml:space="preserve">Em negociação</t>
  </si>
  <si>
    <t xml:space="preserve">Clássico Beach Club</t>
  </si>
  <si>
    <t xml:space="preserve">Barra</t>
  </si>
  <si>
    <t xml:space="preserve">Canastra</t>
  </si>
  <si>
    <t xml:space="preserve">Grupo</t>
  </si>
  <si>
    <t xml:space="preserve">Labuta</t>
  </si>
  <si>
    <t xml:space="preserve">Brewteco</t>
  </si>
  <si>
    <t xml:space="preserve">Badalado</t>
  </si>
  <si>
    <t xml:space="preserve">Rio Beach Club</t>
  </si>
  <si>
    <t xml:space="preserve">Macuna</t>
  </si>
  <si>
    <t xml:space="preserve">Brizza</t>
  </si>
  <si>
    <t xml:space="preserve">Madre de Capotá</t>
  </si>
  <si>
    <t xml:space="preserve">Vizinha 123</t>
  </si>
  <si>
    <t xml:space="preserve">Portal</t>
  </si>
  <si>
    <t xml:space="preserve">Centro / Lapa</t>
  </si>
  <si>
    <t xml:space="preserve">CONTRATO</t>
  </si>
  <si>
    <t xml:space="preserve">EXECUÇÃO &amp; RESULTADO</t>
  </si>
  <si>
    <t xml:space="preserve">DECISÃO</t>
  </si>
  <si>
    <t xml:space="preserve">Vigência início</t>
  </si>
  <si>
    <t xml:space="preserve">Vigência fim</t>
  </si>
  <si>
    <t xml:space="preserve">Investimento total</t>
  </si>
  <si>
    <t xml:space="preserve">Meta volume (gf)</t>
  </si>
  <si>
    <t xml:space="preserve">Contrapartidas</t>
  </si>
  <si>
    <t xml:space="preserve">Entregues? ▾</t>
  </si>
  <si>
    <t xml:space="preserve">Recompra 15/30d ▾</t>
  </si>
  <si>
    <t xml:space="preserve">Próximo review</t>
  </si>
  <si>
    <t xml:space="preserve">Observações</t>
  </si>
  <si>
    <t xml:space="preserve">01/08/2026</t>
  </si>
  <si>
    <t xml:space="preserve">31/12/2026</t>
  </si>
  <si>
    <t xml:space="preserve">Menu, -18°C, 2 ativações/mês</t>
  </si>
  <si>
    <t xml:space="preserve">Parcial</t>
  </si>
  <si>
    <t xml:space="preserve">Pendente</t>
  </si>
  <si>
    <t xml:space="preserve">15/09/2026</t>
  </si>
  <si>
    <t xml:space="preserve">Manter</t>
  </si>
  <si>
    <t xml:space="preserve">Renovar se recompra &gt; baseline</t>
  </si>
  <si>
    <t xml:space="preserve">PROJETO</t>
  </si>
  <si>
    <t xml:space="preserve">FUNIL DE 3 GATES</t>
  </si>
  <si>
    <t xml:space="preserve">ENTREGA</t>
  </si>
  <si>
    <t xml:space="preserve">Projeto / conta</t>
  </si>
  <si>
    <t xml:space="preserve">Tipo ▾</t>
  </si>
  <si>
    <t xml:space="preserve">Sponsor ▾</t>
  </si>
  <si>
    <t xml:space="preserve">Gate 1 Conceito/Budget ▾</t>
  </si>
  <si>
    <t xml:space="preserve">Gate 2 Produção/Log. ▾</t>
  </si>
  <si>
    <t xml:space="preserve">Gate 3 Instalação/Aceite ▾</t>
  </si>
  <si>
    <t xml:space="preserve">Fornecedor</t>
  </si>
  <si>
    <t xml:space="preserve">Orçamento</t>
  </si>
  <si>
    <t xml:space="preserve">Data entrega</t>
  </si>
  <si>
    <t xml:space="preserve">Critério de conclusão</t>
  </si>
  <si>
    <t xml:space="preserve">(exemplo) Ativação Casa X</t>
  </si>
  <si>
    <t xml:space="preserve">Ativação</t>
  </si>
  <si>
    <t xml:space="preserve">Iasmin</t>
  </si>
  <si>
    <t xml:space="preserve">Bruno</t>
  </si>
  <si>
    <t xml:space="preserve">OK</t>
  </si>
  <si>
    <t xml:space="preserve">Em curso</t>
  </si>
  <si>
    <t xml:space="preserve">Aberto</t>
  </si>
  <si>
    <t xml:space="preserve">Rigarr</t>
  </si>
  <si>
    <t xml:space="preserve">20/09/2026</t>
  </si>
  <si>
    <t xml:space="preserve">Instalado + treinado + evidência</t>
  </si>
  <si>
    <t xml:space="preserve">Fechar orçamento com fornecedor</t>
  </si>
  <si>
    <t xml:space="preserve">Tailor Made Bosque</t>
  </si>
  <si>
    <t xml:space="preserve">Tailor Made</t>
  </si>
  <si>
    <t xml:space="preserve">Material + brigada + produto + ritual + evidência</t>
  </si>
  <si>
    <t xml:space="preserve">Jägermeister Orange (testes)</t>
  </si>
  <si>
    <t xml:space="preserve">05–06/08</t>
  </si>
  <si>
    <t xml:space="preserve">Serve, preço e aderência definidos</t>
  </si>
  <si>
    <t xml:space="preserve">Confirmar casa substituta do Canastra</t>
  </si>
  <si>
    <t xml:space="preserve">Shots &amp; Friends</t>
  </si>
  <si>
    <t xml:space="preserve">Plataforma</t>
  </si>
  <si>
    <t xml:space="preserve">Marketing</t>
  </si>
  <si>
    <t xml:space="preserve">Casa + artista + rights + baseline definidos</t>
  </si>
  <si>
    <t xml:space="preserve">Confirmar calendário e casas</t>
  </si>
  <si>
    <t xml:space="preserve">Night Embassy</t>
  </si>
  <si>
    <t xml:space="preserve">Evento</t>
  </si>
  <si>
    <t xml:space="preserve">Dezembro</t>
  </si>
  <si>
    <t xml:space="preserve">Modelo, local, curadoria e owners definidos</t>
  </si>
  <si>
    <t xml:space="preserve">Definir tensão cultural e formato</t>
  </si>
  <si>
    <t xml:space="preserve">Dark Xmas</t>
  </si>
  <si>
    <t xml:space="preserve">Narrativa própria + parceiros reconhecidos</t>
  </si>
  <si>
    <t xml:space="preserve">Definir escopo</t>
  </si>
  <si>
    <t xml:space="preserve">Mesa Jäger (Feierstarters)</t>
  </si>
  <si>
    <t xml:space="preserve">Community</t>
  </si>
  <si>
    <t xml:space="preserve">Mecânica conciliada + casas + recorrência</t>
  </si>
  <si>
    <t xml:space="preserve">Conciliar mecânica antes de comunicar</t>
  </si>
  <si>
    <t xml:space="preserve">Board Visit</t>
  </si>
  <si>
    <t xml:space="preserve">Interfood</t>
  </si>
  <si>
    <t xml:space="preserve">26–27/08</t>
  </si>
  <si>
    <t xml:space="preserve">Contas prontas, -18°C, ON6 e rota validada</t>
  </si>
  <si>
    <t xml:space="preserve">Validar rota final e fim de tarde</t>
  </si>
  <si>
    <t xml:space="preserve">CONTA</t>
  </si>
  <si>
    <t xml:space="preserve">CHECKLIST DE EXECUÇÃO</t>
  </si>
  <si>
    <t xml:space="preserve">RESULTADO</t>
  </si>
  <si>
    <t xml:space="preserve">Disponibilidade ▾</t>
  </si>
  <si>
    <t xml:space="preserve">-18°C ▾</t>
  </si>
  <si>
    <t xml:space="preserve">Perfect Serve ▾</t>
  </si>
  <si>
    <t xml:space="preserve">Cardápio ▾</t>
  </si>
  <si>
    <t xml:space="preserve">ON6 ▾</t>
  </si>
  <si>
    <t xml:space="preserve">Brigada treinada ▾</t>
  </si>
  <si>
    <t xml:space="preserve">Visibilidade ▾</t>
  </si>
  <si>
    <t xml:space="preserve">Evidência ▾</t>
  </si>
  <si>
    <t xml:space="preserve">Perfect Outlet ▾</t>
  </si>
  <si>
    <t xml:space="preserve">Gap principal</t>
  </si>
  <si>
    <t xml:space="preserve">Brigada sem treino</t>
  </si>
  <si>
    <t xml:space="preserve">Agendar treino e revisar ON6</t>
  </si>
  <si>
    <t xml:space="preserve">Ativação e preço</t>
  </si>
  <si>
    <t xml:space="preserve">Treinamento</t>
  </si>
  <si>
    <t xml:space="preserve">Ativação e treinamento</t>
  </si>
  <si>
    <t xml:space="preserve">ON6 = 6 pontos → Perfect Outlet = 6/6:</t>
  </si>
  <si>
    <t xml:space="preserve">1 Serviço perfeito</t>
  </si>
  <si>
    <t xml:space="preserve">2 Temperatura (-18°C)</t>
  </si>
  <si>
    <t xml:space="preserve">3 Frio / tap / óculos gelados</t>
  </si>
  <si>
    <t xml:space="preserve">4 Visibilidade no PDV</t>
  </si>
  <si>
    <t xml:space="preserve">5 Cardápio / menu / quadro</t>
  </si>
  <si>
    <t xml:space="preserve">6 Ativação ou treinamento</t>
  </si>
  <si>
    <t xml:space="preserve">ENCAMINHAMENTO</t>
  </si>
  <si>
    <t xml:space="preserve">Decisão / tema</t>
  </si>
  <si>
    <t xml:space="preserve">Participantes</t>
  </si>
  <si>
    <t xml:space="preserve">Evidência / próximo passo</t>
  </si>
  <si>
    <t xml:space="preserve">Decisão final</t>
  </si>
  <si>
    <t xml:space="preserve">(exemplo) Definir owner da Orla</t>
  </si>
  <si>
    <t xml:space="preserve">Estrutural</t>
  </si>
  <si>
    <t xml:space="preserve">Em andamento</t>
  </si>
  <si>
    <t xml:space="preserve">Comparar capacidade de rota</t>
  </si>
  <si>
    <t xml:space="preserve">Owner: Iasmin</t>
  </si>
  <si>
    <t xml:space="preserve">Crítica agosto</t>
  </si>
  <si>
    <t xml:space="preserve">Jerry, Iasmin</t>
  </si>
  <si>
    <t xml:space="preserve">Aberta</t>
  </si>
  <si>
    <t xml:space="preserve">Cronograma, orçamento, fornecedor, instalação e aceite</t>
  </si>
  <si>
    <t xml:space="preserve">Cariocarga (logística)</t>
  </si>
  <si>
    <t xml:space="preserve">Reunião, SLA, custo, entrega, reversa e piloto</t>
  </si>
  <si>
    <t xml:space="preserve">Substituta do Canastra (Orange)</t>
  </si>
  <si>
    <t xml:space="preserve">Jerry, Marketing</t>
  </si>
  <si>
    <t xml:space="preserve">Confirmar casa, público, data, operação e custo</t>
  </si>
  <si>
    <t xml:space="preserve">Rota final do board</t>
  </si>
  <si>
    <t xml:space="preserve">Validar sequência — não inventar horários</t>
  </si>
  <si>
    <t xml:space="preserve">Fim de tarde do board</t>
  </si>
  <si>
    <t xml:space="preserve">Pato, Soga ou Morro da Urca; papel de Teremana</t>
  </si>
  <si>
    <t xml:space="preserve">Casas de Botafogo (board)</t>
  </si>
  <si>
    <t xml:space="preserve">Programação, execução e narrativa</t>
  </si>
  <si>
    <t xml:space="preserve">Shots &amp; Friends no Aldeia</t>
  </si>
  <si>
    <t xml:space="preserve">Marketing, Jerry</t>
  </si>
  <si>
    <t xml:space="preserve">Confirmar formato, artista, produção e convite</t>
  </si>
  <si>
    <t xml:space="preserve">Distribuição de carteira</t>
  </si>
  <si>
    <t xml:space="preserve">Jerry, Iasmin, Julia</t>
  </si>
  <si>
    <t xml:space="preserve">Distribuir e definir back-up</t>
  </si>
  <si>
    <t xml:space="preserve">Reconciliação de dados (fonte única)</t>
  </si>
  <si>
    <t xml:space="preserve">Cruzar BAM, volume, contratos e investimentos</t>
  </si>
  <si>
    <t xml:space="preserve">Metas individuais</t>
  </si>
  <si>
    <t xml:space="preserve">Vitor</t>
  </si>
  <si>
    <t xml:space="preserve">Pesos, volume, targets e validação com Vitor</t>
  </si>
  <si>
    <t xml:space="preserve">BASE BAM RIO — recorte 01/07–03/08/2026 · fonte: Report BAM (Jerry) · 51 contas válidas após limpeza (dedupe + remoção de 8 registros fora da praça/BH)</t>
  </si>
  <si>
    <t xml:space="preserve">Execução: Listing 86% · Right Price 73% · Visibilidade 71% · Perfect Serve 67% · -18°C 67% · Treinamento 47% · Ativação 41% · PERFECT OUTLET 31% (16/51). Gargalo: ativação e treinamento.</t>
  </si>
  <si>
    <t xml:space="preserve">Venue</t>
  </si>
  <si>
    <t xml:space="preserve">Bairro</t>
  </si>
  <si>
    <t xml:space="preserve">Perfect Serve</t>
  </si>
  <si>
    <t xml:space="preserve">-18°C</t>
  </si>
  <si>
    <t xml:space="preserve">Visibilidade</t>
  </si>
  <si>
    <t xml:space="preserve">Listing</t>
  </si>
  <si>
    <t xml:space="preserve">Right Price</t>
  </si>
  <si>
    <t xml:space="preserve">Efficiency</t>
  </si>
  <si>
    <t xml:space="preserve">Perfect Outlet</t>
  </si>
  <si>
    <t xml:space="preserve">Última visita</t>
  </si>
  <si>
    <t xml:space="preserve">Bar da Cacia</t>
  </si>
  <si>
    <t xml:space="preserve">5/6</t>
  </si>
  <si>
    <t xml:space="preserve">Distrital</t>
  </si>
  <si>
    <t xml:space="preserve">6/6</t>
  </si>
  <si>
    <t xml:space="preserve">Dome Lounge Bar</t>
  </si>
  <si>
    <t xml:space="preserve">2/6</t>
  </si>
  <si>
    <t xml:space="preserve">Gis Clube</t>
  </si>
  <si>
    <t xml:space="preserve">Lab</t>
  </si>
  <si>
    <t xml:space="preserve">4/6</t>
  </si>
  <si>
    <t xml:space="preserve">Mister Rock</t>
  </si>
  <si>
    <t xml:space="preserve">Obra bar</t>
  </si>
  <si>
    <t xml:space="preserve">casa sapucai</t>
  </si>
  <si>
    <t xml:space="preserve">Bar Bukowski - Botafogo</t>
  </si>
  <si>
    <t xml:space="preserve">Bato</t>
  </si>
  <si>
    <t xml:space="preserve">0/6</t>
  </si>
  <si>
    <t xml:space="preserve">Brizza Botafogo</t>
  </si>
  <si>
    <t xml:space="preserve">Canatra Rose Botafogo</t>
  </si>
  <si>
    <t xml:space="preserve">Cervejaria Madre de CapotÃ¡</t>
  </si>
  <si>
    <t xml:space="preserve">Fonte - Botafogo</t>
  </si>
  <si>
    <t xml:space="preserve">La Catedral - Botafogo</t>
  </si>
  <si>
    <t xml:space="preserve">Nicks Bar - Botafogo</t>
  </si>
  <si>
    <t xml:space="preserve">3/6</t>
  </si>
  <si>
    <t xml:space="preserve">Salva Botafogo</t>
  </si>
  <si>
    <t xml:space="preserve">Surreal - Botafogo</t>
  </si>
  <si>
    <t xml:space="preserve">Vuvu - Botafogo</t>
  </si>
  <si>
    <t xml:space="preserve">Xepa Bar</t>
  </si>
  <si>
    <t xml:space="preserve">Centro</t>
  </si>
  <si>
    <t xml:space="preserve">Trauma bar - centro</t>
  </si>
  <si>
    <t xml:space="preserve">New Clube - Copacabana</t>
  </si>
  <si>
    <t xml:space="preserve">Copacabana</t>
  </si>
  <si>
    <t xml:space="preserve">Pink Flamingo - Copacabana</t>
  </si>
  <si>
    <t xml:space="preserve">Substation Bar - Copacabana</t>
  </si>
  <si>
    <t xml:space="preserve">Macaco Caolho - HumaitÃ¡</t>
  </si>
  <si>
    <t xml:space="preserve">Humaitá</t>
  </si>
  <si>
    <t xml:space="preserve">Barzin Lounge Boate - Ipanema</t>
  </si>
  <si>
    <t xml:space="preserve">Ipanema</t>
  </si>
  <si>
    <t xml:space="preserve">Barzin gasteobar Ipanema</t>
  </si>
  <si>
    <t xml:space="preserve">Belmonte - Ipanema</t>
  </si>
  <si>
    <t xml:space="preserve">1/6</t>
  </si>
  <si>
    <t xml:space="preserve">Booze Ipanema</t>
  </si>
  <si>
    <t xml:space="preserve">Botecos Rios Ipanema</t>
  </si>
  <si>
    <t xml:space="preserve">Emporio 37</t>
  </si>
  <si>
    <t xml:space="preserve">Ipanema Beach Hostel - Ipanema</t>
  </si>
  <si>
    <t xml:space="preserve">More Hostel - Ipanema</t>
  </si>
  <si>
    <t xml:space="preserve">Pura Brasa Ipanema</t>
  </si>
  <si>
    <t xml:space="preserve">mad brew</t>
  </si>
  <si>
    <t xml:space="preserve">zinga-ipanema</t>
  </si>
  <si>
    <t xml:space="preserve">Aldeia</t>
  </si>
  <si>
    <t xml:space="preserve">Booze Bar - Lapa</t>
  </si>
  <si>
    <t xml:space="preserve">Lapa</t>
  </si>
  <si>
    <t xml:space="preserve">Circo Voador</t>
  </si>
  <si>
    <t xml:space="preserve">La Esquina - Lapa</t>
  </si>
  <si>
    <t xml:space="preserve">Belmonte - Leblon</t>
  </si>
  <si>
    <t xml:space="preserve">JobÃ¡ - Leblon</t>
  </si>
  <si>
    <t xml:space="preserve">O BalcÃ£o do Jobi - Leblon</t>
  </si>
  <si>
    <t xml:space="preserve">Belmonte - Leme</t>
  </si>
  <si>
    <t xml:space="preserve">Leme</t>
  </si>
  <si>
    <t xml:space="preserve">Botecos Rios Leme</t>
  </si>
  <si>
    <t xml:space="preserve">S Bistro do Leme</t>
  </si>
  <si>
    <t xml:space="preserve">Baiuca DJ Bar - Santo Cristo</t>
  </si>
  <si>
    <t xml:space="preserve">Santo Cristo</t>
  </si>
  <si>
    <t xml:space="preserve">REGISTROS FORA DA PRAÇA (remover da base Rio — parecem ser de Belo Horizonte):</t>
  </si>
  <si>
    <t xml:space="preserve">Laicos Bar savassi</t>
  </si>
  <si>
    <t xml:space="preserve">Caverna do Rock Pub</t>
  </si>
  <si>
    <t xml:space="preserve">Barro Preto</t>
  </si>
  <si>
    <t xml:space="preserve">mira Bh</t>
  </si>
  <si>
    <t xml:space="preserve">Mulligans PUb</t>
  </si>
  <si>
    <t xml:space="preserve">Sion</t>
  </si>
  <si>
    <t xml:space="preserve">Deputamadre</t>
  </si>
  <si>
    <t xml:space="preserve">Floresta</t>
  </si>
  <si>
    <t xml:space="preserve">Esquenta</t>
  </si>
  <si>
    <t xml:space="preserve">Savassi</t>
  </si>
  <si>
    <t xml:space="preserve">Carcamano Rock Club</t>
  </si>
  <si>
    <t xml:space="preserve">Barreiro</t>
  </si>
  <si>
    <t xml:space="preserve">Loc Savassi</t>
  </si>
  <si>
    <t xml:space="preserve">Fincionarios</t>
  </si>
  <si>
    <t xml:space="preserve">RADAR ON6 RIO — 51 contas do Jerry ranqueadas por Gap ON6 (pior primeiro). Perfect Outlet = ON6 6/6. Base: Report BAM 01/07–03/08.</t>
  </si>
  <si>
    <t xml:space="preserve">Cliente</t>
  </si>
  <si>
    <t xml:space="preserve">ON6</t>
  </si>
  <si>
    <t xml:space="preserve">Gap</t>
  </si>
  <si>
    <t xml:space="preserve">Serviço</t>
  </si>
  <si>
    <t xml:space="preserve">Temp.</t>
  </si>
  <si>
    <t xml:space="preserve">Frio/tap</t>
  </si>
  <si>
    <t xml:space="preserve">Visib.</t>
  </si>
  <si>
    <t xml:space="preserve">Cardápio</t>
  </si>
  <si>
    <t xml:space="preserve">Ativ/Trein</t>
  </si>
  <si>
    <t xml:space="preserve">Ação sugerida</t>
  </si>
  <si>
    <t xml:space="preserve">✗</t>
  </si>
  <si>
    <t xml:space="preserve">Fechar: serviço, -18°C</t>
  </si>
  <si>
    <t xml:space="preserve">✓</t>
  </si>
  <si>
    <t xml:space="preserve">Fechar: visibilidade, ativação/treino</t>
  </si>
  <si>
    <t xml:space="preserve">Fechar: visibilidade, cardápio</t>
  </si>
  <si>
    <t xml:space="preserve">Fechar: ativação/treino</t>
  </si>
  <si>
    <t xml:space="preserve">Perfect Outlet — manter e escalar</t>
  </si>
  <si>
    <t xml:space="preserve">CARTEIRA JULIA — 52 contas do Rio (registradas no sistema como BA "Amanda Vanderlei"). Julia assume a vaga de BA Rio e esta carteira. Preencher frente, status e próxima ação (amarelo).</t>
  </si>
  <si>
    <t xml:space="preserve">#</t>
  </si>
  <si>
    <t xml:space="preserve">Objetivo</t>
  </si>
  <si>
    <t xml:space="preserve">Subcategoria</t>
  </si>
  <si>
    <t xml:space="preserve">Energia</t>
  </si>
  <si>
    <t xml:space="preserve">Prioridade</t>
  </si>
  <si>
    <t xml:space="preserve">Frente</t>
  </si>
  <si>
    <t xml:space="preserve">Status</t>
  </si>
  <si>
    <t xml:space="preserve">Próxima ação</t>
  </si>
  <si>
    <t xml:space="preserve">All In - Barra da Tijuca</t>
  </si>
  <si>
    <t xml:space="preserve">Barra da Tijuca</t>
  </si>
  <si>
    <t xml:space="preserve">Baixa (2)</t>
  </si>
  <si>
    <t xml:space="preserve">Alta</t>
  </si>
  <si>
    <t xml:space="preserve">A visitar</t>
  </si>
  <si>
    <t xml:space="preserve">Armazém São Joaquim</t>
  </si>
  <si>
    <t xml:space="preserve">Creative</t>
  </si>
  <si>
    <t xml:space="preserve">Bar da Gema - Maracanã</t>
  </si>
  <si>
    <t xml:space="preserve">Maracanã</t>
  </si>
  <si>
    <t xml:space="preserve">N/A</t>
  </si>
  <si>
    <t xml:space="preserve">Baixa</t>
  </si>
  <si>
    <t xml:space="preserve">Bar da Lapa</t>
  </si>
  <si>
    <t xml:space="preserve">Status-Creative</t>
  </si>
  <si>
    <t xml:space="preserve">Bartô</t>
  </si>
  <si>
    <t xml:space="preserve">Beise</t>
  </si>
  <si>
    <t xml:space="preserve">Beneh Gastrobar - Tijuca</t>
  </si>
  <si>
    <t xml:space="preserve">Tijuca</t>
  </si>
  <si>
    <t xml:space="preserve">Birosca</t>
  </si>
  <si>
    <t xml:space="preserve">Boa Praça Barra</t>
  </si>
  <si>
    <t xml:space="preserve">Bobô Bar</t>
  </si>
  <si>
    <t xml:space="preserve">Boteco da Garrafa</t>
  </si>
  <si>
    <t xml:space="preserve">Experimenter</t>
  </si>
  <si>
    <t xml:space="preserve">Boteco Da Garrafa - Lapa</t>
  </si>
  <si>
    <t xml:space="preserve">Boteco do Raoni</t>
  </si>
  <si>
    <t xml:space="preserve">Boteco Rio's - Méier</t>
  </si>
  <si>
    <t xml:space="preserve">Méier</t>
  </si>
  <si>
    <t xml:space="preserve">Boteco Rio's - Tijuca</t>
  </si>
  <si>
    <t xml:space="preserve">Boteco Rios - Barra da Tijuca</t>
  </si>
  <si>
    <t xml:space="preserve">Boteco Rios copacabana</t>
  </si>
  <si>
    <t xml:space="preserve">Braseiro do Roque</t>
  </si>
  <si>
    <t xml:space="preserve">Brazzô Sport Bar</t>
  </si>
  <si>
    <t xml:space="preserve">Brooks - Méier</t>
  </si>
  <si>
    <t xml:space="preserve">Buxixo</t>
  </si>
  <si>
    <t xml:space="preserve">Calabouço Rock Bar</t>
  </si>
  <si>
    <t xml:space="preserve">Casa Nossa Lounge</t>
  </si>
  <si>
    <t xml:space="preserve">Classico Beach Club</t>
  </si>
  <si>
    <t xml:space="preserve">Embrazza</t>
  </si>
  <si>
    <t xml:space="preserve">Garota da Tijuca</t>
  </si>
  <si>
    <t xml:space="preserve">Hora Certa</t>
  </si>
  <si>
    <t xml:space="preserve">Jacques</t>
  </si>
  <si>
    <t xml:space="preserve">K08 Kite Surf Club</t>
  </si>
  <si>
    <t xml:space="preserve">Leviano - Lapa</t>
  </si>
  <si>
    <t xml:space="preserve">Mia Lounge</t>
  </si>
  <si>
    <t xml:space="preserve">Nuth Barra</t>
  </si>
  <si>
    <t xml:space="preserve">O Pesqueiro</t>
  </si>
  <si>
    <t xml:space="preserve">On Tap - tijuca</t>
  </si>
  <si>
    <t xml:space="preserve">Pilo's Pub</t>
  </si>
  <si>
    <t xml:space="preserve">Pineapple Restaurante</t>
  </si>
  <si>
    <t xml:space="preserve">Praia Club Reserva</t>
  </si>
  <si>
    <t xml:space="preserve">Quintal da Vila</t>
  </si>
  <si>
    <t xml:space="preserve">Quintal do Choco</t>
  </si>
  <si>
    <t xml:space="preserve">R21</t>
  </si>
  <si>
    <t xml:space="preserve">Raval</t>
  </si>
  <si>
    <t xml:space="preserve">Reserva Onze Beach Club</t>
  </si>
  <si>
    <t xml:space="preserve">Rocco Bar</t>
  </si>
  <si>
    <t xml:space="preserve">Rufi Bar</t>
  </si>
  <si>
    <t xml:space="preserve">Salomé - Tijuca</t>
  </si>
  <si>
    <t xml:space="preserve">Seu Bar - Barra</t>
  </si>
  <si>
    <t xml:space="preserve">Soulbrado - Freguesia</t>
  </si>
  <si>
    <t xml:space="preserve">Freguesia</t>
  </si>
  <si>
    <t xml:space="preserve">The Garden</t>
  </si>
  <si>
    <t xml:space="preserve">Vepê</t>
  </si>
  <si>
    <t xml:space="preserve">Vilah</t>
  </si>
  <si>
    <t xml:space="preserve">RESUMO</t>
  </si>
  <si>
    <t xml:space="preserve">Objetivo Volume</t>
  </si>
  <si>
    <t xml:space="preserve">Objetivo Imagem</t>
  </si>
  <si>
    <t xml:space="preserve">Prioridade Alta</t>
  </si>
  <si>
    <t xml:space="preserve">PLANEJAMENTO DE ROTA — decisão do BA. Use o Radar ON6 para escolher os focos, depois monte a rota real da semana.</t>
  </si>
  <si>
    <t xml:space="preserve">BA:</t>
  </si>
  <si>
    <t xml:space="preserve">Semana de:</t>
  </si>
  <si>
    <t xml:space="preserve">Objetivo da semana:</t>
  </si>
  <si>
    <t xml:space="preserve">Dia</t>
  </si>
  <si>
    <t xml:space="preserve">Cliente foco</t>
  </si>
  <si>
    <t xml:space="preserve">Bairro / Hotzone</t>
  </si>
  <si>
    <t xml:space="preserve">KPI objetivo</t>
  </si>
  <si>
    <t xml:space="preserve">Por que entra na rota</t>
  </si>
  <si>
    <t xml:space="preserve">Ação planejada</t>
  </si>
  <si>
    <t xml:space="preserve">Material / prep</t>
  </si>
  <si>
    <t xml:space="preserve">Resultado / próximo passo</t>
  </si>
  <si>
    <t xml:space="preserve">Segunda</t>
  </si>
  <si>
    <t xml:space="preserve">#1</t>
  </si>
  <si>
    <t xml:space="preserve">(exemplo) Macuna</t>
  </si>
  <si>
    <t xml:space="preserve">Botafoto / Hotzone</t>
  </si>
  <si>
    <t xml:space="preserve">Gap ON6 5/6 — falta ativação/treino</t>
  </si>
  <si>
    <t xml:space="preserve">Treinar brigada + kit shot</t>
  </si>
  <si>
    <t xml:space="preserve">Kit, cardápio, tap</t>
  </si>
  <si>
    <t xml:space="preserve">Planejado</t>
  </si>
  <si>
    <t xml:space="preserve">Agendar retorno em 15d</t>
  </si>
  <si>
    <t xml:space="preserve">#2</t>
  </si>
  <si>
    <t xml:space="preserve">#3</t>
  </si>
  <si>
    <t xml:space="preserve">#4</t>
  </si>
  <si>
    <t xml:space="preserve">#5</t>
  </si>
  <si>
    <t xml:space="preserve">Terça</t>
  </si>
  <si>
    <t xml:space="preserve">Quarta</t>
  </si>
  <si>
    <t xml:space="preserve">Quinta</t>
  </si>
  <si>
    <t xml:space="preserve">Sexta</t>
  </si>
  <si>
    <t xml:space="preserve">APROVAÇÃO DE CONTRATOS — calculadora de investimento. Ideal R$20/gfa · teto R$30/gfa · reserva 25% Tailor Made · saldo 75% fee. Preencha só as células amarelas (volume, meses, invest. solicitado se exceção, prob.).</t>
  </si>
  <si>
    <t xml:space="preserve">Região</t>
  </si>
  <si>
    <t xml:space="preserve">Canal / tipo</t>
  </si>
  <si>
    <t xml:space="preserve">Perfil</t>
  </si>
  <si>
    <t xml:space="preserve">Vol/mês</t>
  </si>
  <si>
    <t xml:space="preserve">Meses</t>
  </si>
  <si>
    <t xml:space="preserve">Vol total</t>
  </si>
  <si>
    <t xml:space="preserve">Ideal R$20</t>
  </si>
  <si>
    <t xml:space="preserve">Máx R$30</t>
  </si>
  <si>
    <t xml:space="preserve">Invest. solicitado</t>
  </si>
  <si>
    <t xml:space="preserve">TM 25%</t>
  </si>
  <si>
    <t xml:space="preserve">Fee 75%</t>
  </si>
  <si>
    <t xml:space="preserve">R$/gfa</t>
  </si>
  <si>
    <t xml:space="preserve">Parecer</t>
  </si>
  <si>
    <t xml:space="preserve">Prob.</t>
  </si>
  <si>
    <t xml:space="preserve">Vol pond.</t>
  </si>
  <si>
    <t xml:space="preserve">Owner</t>
  </si>
  <si>
    <t xml:space="preserve">RJ</t>
  </si>
  <si>
    <t xml:space="preserve">Bar/On Trade</t>
  </si>
  <si>
    <t xml:space="preserve">Estratégico</t>
  </si>
  <si>
    <t xml:space="preserve">Crítica</t>
  </si>
  <si>
    <t xml:space="preserve">Diagnóstico</t>
  </si>
  <si>
    <t xml:space="preserve">Atualizar negociação, definir budget e avançar briefing/TM</t>
  </si>
  <si>
    <t xml:space="preserve">Ephigenia</t>
  </si>
  <si>
    <t xml:space="preserve">Imagem + Volume</t>
  </si>
  <si>
    <t xml:space="preserve">Reunião contratual e briefing completo para Tanize</t>
  </si>
  <si>
    <t xml:space="preserve">Amargot</t>
  </si>
  <si>
    <t xml:space="preserve">Média</t>
  </si>
  <si>
    <t xml:space="preserve">Atualizar negociação e definir escopo do novo TM</t>
  </si>
  <si>
    <t xml:space="preserve">Restaurante premium</t>
  </si>
  <si>
    <t xml:space="preserve">Evento/Festival</t>
  </si>
  <si>
    <t xml:space="preserve">Confirmar guest, treino, DJ, materiais e experiência</t>
  </si>
  <si>
    <t xml:space="preserve">Bruno/Jerry</t>
  </si>
  <si>
    <t xml:space="preserve">Arpbar</t>
  </si>
  <si>
    <t xml:space="preserve">Teste</t>
  </si>
  <si>
    <t xml:space="preserve">Mapeado</t>
  </si>
  <si>
    <t xml:space="preserve">Confirmar viabilidade da casa para ativação</t>
  </si>
  <si>
    <t xml:space="preserve">Casa Lagoa / Grupo Lagoa</t>
  </si>
  <si>
    <t xml:space="preserve">Grupo On Trade</t>
  </si>
  <si>
    <t xml:space="preserve">Mapear casas do grupo e proposta por unidade</t>
  </si>
  <si>
    <t xml:space="preserve">Sweet Secrets</t>
  </si>
  <si>
    <t xml:space="preserve">Bar/Experiência</t>
  </si>
  <si>
    <t xml:space="preserve">Avançar parceria e conectar a conteúdo/experiência</t>
  </si>
  <si>
    <t xml:space="preserve">Canastra / Canastra Rosé</t>
  </si>
  <si>
    <t xml:space="preserve">Definir formato de consumo para carnaval/verão</t>
  </si>
  <si>
    <t xml:space="preserve">Caledonia</t>
  </si>
  <si>
    <t xml:space="preserve">Entrar via Interfood e avaliar Manifest</t>
  </si>
  <si>
    <t xml:space="preserve">Elena Horto</t>
  </si>
  <si>
    <t xml:space="preserve">Bar/Alta coquetelaria</t>
  </si>
  <si>
    <t xml:space="preserve">Avaliar guest/masterclass e Manifest/Teremana</t>
  </si>
  <si>
    <t xml:space="preserve">Murdock</t>
  </si>
  <si>
    <t xml:space="preserve">Usar contato do Vitor, validar Manifest premium</t>
  </si>
  <si>
    <t xml:space="preserve">Bruno/Vitor</t>
  </si>
  <si>
    <t xml:space="preserve">Europa Lounge</t>
  </si>
  <si>
    <t xml:space="preserve">Usar contato do Vitor e avaliar fit Manifest</t>
  </si>
  <si>
    <t xml:space="preserve">Casa de show</t>
  </si>
  <si>
    <t xml:space="preserve">Eventos</t>
  </si>
  <si>
    <t xml:space="preserve">Revisar contrato existente e corrigir execução</t>
  </si>
  <si>
    <t xml:space="preserve">Fechado</t>
  </si>
  <si>
    <t xml:space="preserve">Priorizar execução e contrapartida</t>
  </si>
  <si>
    <t xml:space="preserve">Clan BBQ</t>
  </si>
  <si>
    <t xml:space="preserve">Bar/Restaurante</t>
  </si>
  <si>
    <t xml:space="preserve">Avaliar volume potencial e pacote de consumo</t>
  </si>
  <si>
    <t xml:space="preserve">Blu Blazer</t>
  </si>
  <si>
    <t xml:space="preserve">Estruturar masterclass/guest com bonificação</t>
  </si>
  <si>
    <t xml:space="preserve">São Conrado / São Bento</t>
  </si>
  <si>
    <t xml:space="preserve">Modelo de enxoval, preço e boni progressiva 1/6→1/3</t>
  </si>
  <si>
    <t xml:space="preserve">PIOS / Thiago</t>
  </si>
  <si>
    <t xml:space="preserve">Agência/Operação</t>
  </si>
  <si>
    <t xml:space="preserve">Rever termos e amarrar entregas por cidade</t>
  </si>
  <si>
    <t xml:space="preserve">Distribuidor</t>
  </si>
  <si>
    <t xml:space="preserve">Estruturar conta corrente/boni antecipada</t>
  </si>
  <si>
    <t xml:space="preserve">Camisa 10</t>
  </si>
  <si>
    <t xml:space="preserve">Evento/Carnaval</t>
  </si>
  <si>
    <t xml:space="preserve">Fechar 100gfas + R$10k + exposição + ingressos</t>
  </si>
  <si>
    <t xml:space="preserve">Aura</t>
  </si>
  <si>
    <t xml:space="preserve">Priorizar; R$10k + boni condicionada + ativação</t>
  </si>
  <si>
    <t xml:space="preserve">Camarote Mar</t>
  </si>
  <si>
    <t xml:space="preserve">Consolidar contrapartidas e volume bonificado</t>
  </si>
  <si>
    <t xml:space="preserve">SP</t>
  </si>
  <si>
    <t xml:space="preserve">Tokyo</t>
  </si>
  <si>
    <t xml:space="preserve">Casa noturna</t>
  </si>
  <si>
    <t xml:space="preserve">Visita, subir máquina, ativar bar inferior e TM fixo</t>
  </si>
  <si>
    <t xml:space="preserve">João/Bruno</t>
  </si>
  <si>
    <t xml:space="preserve">Martinelli</t>
  </si>
  <si>
    <t xml:space="preserve">Grupo/Rede</t>
  </si>
  <si>
    <t xml:space="preserve">Rede/Grupo</t>
  </si>
  <si>
    <t xml:space="preserve">Reforma carrinho, ponto fixo e visita com Tanize</t>
  </si>
  <si>
    <t xml:space="preserve">Bruno/Tanize</t>
  </si>
  <si>
    <t xml:space="preserve">Evva Club</t>
  </si>
  <si>
    <t xml:space="preserve">Proposta</t>
  </si>
  <si>
    <t xml:space="preserve">Enviar proposta formal e estruturar TM/materiais</t>
  </si>
  <si>
    <t xml:space="preserve">Deus Ex Machina</t>
  </si>
  <si>
    <t xml:space="preserve">Retomar proposta PPT e estruturar introdução</t>
  </si>
  <si>
    <t xml:space="preserve">Amata</t>
  </si>
  <si>
    <t xml:space="preserve">Revisar execução e plano de ativação</t>
  </si>
  <si>
    <t xml:space="preserve">MEAW Club</t>
  </si>
  <si>
    <t xml:space="preserve">Club/LGBT</t>
  </si>
  <si>
    <t xml:space="preserve">Prospecção</t>
  </si>
  <si>
    <t xml:space="preserve">Fechar contrato e montar execução (Jäger+RB)</t>
  </si>
  <si>
    <t xml:space="preserve">High Club</t>
  </si>
  <si>
    <t xml:space="preserve">Avaliar contrato de volume no território LGBT</t>
  </si>
  <si>
    <t xml:space="preserve">Clube Jerome</t>
  </si>
  <si>
    <t xml:space="preserve">Arlette</t>
  </si>
  <si>
    <t xml:space="preserve">Fomentar drinks e presença em cardápio</t>
  </si>
  <si>
    <t xml:space="preserve">Vila Dionisio</t>
  </si>
  <si>
    <t xml:space="preserve">Definir ação, decisor e próximos passos</t>
  </si>
  <si>
    <t xml:space="preserve">Giardino</t>
  </si>
  <si>
    <t xml:space="preserve">Definir atividade e possibilidade de contrato</t>
  </si>
  <si>
    <t xml:space="preserve">Casa Rockambole</t>
  </si>
  <si>
    <t xml:space="preserve">Levantar status do investimento e decidir</t>
  </si>
  <si>
    <t xml:space="preserve">Cine Clube Cortina</t>
  </si>
  <si>
    <t xml:space="preserve">Avaliar oportunidade real de cardápio/ritual</t>
  </si>
  <si>
    <t xml:space="preserve">Doisdois</t>
  </si>
  <si>
    <t xml:space="preserve">Entender status e potencial de consumo</t>
  </si>
  <si>
    <t xml:space="preserve">Opalina</t>
  </si>
  <si>
    <t xml:space="preserve">Avaliar 1º evento Shots &amp; Friends / Night Embassy</t>
  </si>
  <si>
    <t xml:space="preserve">Village</t>
  </si>
  <si>
    <t xml:space="preserve">Revisar ativação, promotora, report e saída</t>
  </si>
  <si>
    <t xml:space="preserve">Casas no pipeline</t>
  </si>
  <si>
    <t xml:space="preserve">Volume total projetado (gf)</t>
  </si>
  <si>
    <t xml:space="preserve">Investimento (ideal/aprovado)</t>
  </si>
  <si>
    <t xml:space="preserve">Reserva Tailor Made 25%</t>
  </si>
  <si>
    <t xml:space="preserve">Saldo fee 75%</t>
  </si>
  <si>
    <t xml:space="preserve">Volume ponderado (forecast)</t>
  </si>
  <si>
    <t xml:space="preserve">Contratos fechados</t>
  </si>
  <si>
    <t xml:space="preserve">PARÂMETROS DO MODELO DE CONTRATOS</t>
  </si>
  <si>
    <t xml:space="preserve">Base do racional acordado com Vitor. Não editar em contratos individuais — mudar aqui só se a política mudar.</t>
  </si>
  <si>
    <t xml:space="preserve">Regra central</t>
  </si>
  <si>
    <t xml:space="preserve">Investimento ideal por garrafa</t>
  </si>
  <si>
    <t xml:space="preserve">R$ 20</t>
  </si>
  <si>
    <t xml:space="preserve">Âncora de negociação</t>
  </si>
  <si>
    <t xml:space="preserve">Investimento máximo por garrafa</t>
  </si>
  <si>
    <t xml:space="preserve">R$ 30</t>
  </si>
  <si>
    <t xml:space="preserve">Teto — só com contrapartida forte</t>
  </si>
  <si>
    <t xml:space="preserve">Reserva Tailor Made / Experiências</t>
  </si>
  <si>
    <t xml:space="preserve">25%</t>
  </si>
  <si>
    <t xml:space="preserve">Separar antes de fee/TM/eventos</t>
  </si>
  <si>
    <t xml:space="preserve">Saldo Fee + TM + Eventos</t>
  </si>
  <si>
    <t xml:space="preserve">75%</t>
  </si>
  <si>
    <t xml:space="preserve">Distribuído pelo perfil</t>
  </si>
  <si>
    <t xml:space="preserve">Prazo padrão</t>
  </si>
  <si>
    <t xml:space="preserve">12 meses</t>
  </si>
  <si>
    <t xml:space="preserve">Ajustar se contrato diferente</t>
  </si>
  <si>
    <t xml:space="preserve">Distribuição do saldo por perfil</t>
  </si>
  <si>
    <t xml:space="preserve">Fee %</t>
  </si>
  <si>
    <t xml:space="preserve">TM %</t>
  </si>
  <si>
    <t xml:space="preserve">Eventos %</t>
  </si>
  <si>
    <t xml:space="preserve">Fator</t>
  </si>
  <si>
    <t xml:space="preserve">Misto</t>
  </si>
  <si>
    <t xml:space="preserve">Fator energia</t>
  </si>
  <si>
    <t xml:space="preserve">Fator prioridade</t>
  </si>
  <si>
    <t xml:space="preserve">1 fria</t>
  </si>
  <si>
    <t xml:space="preserve">2</t>
  </si>
  <si>
    <t xml:space="preserve">3 observação</t>
  </si>
  <si>
    <t xml:space="preserve">4</t>
  </si>
  <si>
    <t xml:space="preserve">5 forte</t>
  </si>
  <si>
    <t xml:space="preserve">Faixas de volume (referência)</t>
  </si>
  <si>
    <t xml:space="preserve">cx/mês</t>
  </si>
  <si>
    <t xml:space="preserve">cx/tri</t>
  </si>
  <si>
    <t xml:space="preserve">Ideal anual R$20</t>
  </si>
  <si>
    <t xml:space="preserve">Máx anual R$30</t>
  </si>
  <si>
    <t xml:space="preserve">Reserva 25%</t>
  </si>
  <si>
    <t xml:space="preserve">Arquétipos de investimento (bonificação/base)</t>
  </si>
  <si>
    <t xml:space="preserve">Cliente Imagem &amp; Volume</t>
  </si>
  <si>
    <t xml:space="preserve">R$ 5.000</t>
  </si>
  <si>
    <t xml:space="preserve">Novo estratégico: cardápio, publicações, ativações</t>
  </si>
  <si>
    <t xml:space="preserve">Cliente Volume</t>
  </si>
  <si>
    <t xml:space="preserve">R$ 2.000</t>
  </si>
  <si>
    <t xml:space="preserve">Conta de giro/volume</t>
  </si>
  <si>
    <t xml:space="preserve">Cliente Imagem</t>
  </si>
  <si>
    <t xml:space="preserve">Conta de imagem</t>
  </si>
  <si>
    <t xml:space="preserve">Cliente Criativo / Boteco</t>
  </si>
  <si>
    <t xml:space="preserve">R$ 600</t>
  </si>
  <si>
    <t xml:space="preserve">Território cultural / cervejeiro</t>
  </si>
  <si>
    <t xml:space="preserve">Cardápio destaque</t>
  </si>
  <si>
    <t xml:space="preserve">Destaque simples em cliente ativo</t>
  </si>
  <si>
    <t xml:space="preserve">Tailor Made / Imagem estratégico</t>
  </si>
  <si>
    <t xml:space="preserve">R$ 20.000</t>
  </si>
  <si>
    <t xml:space="preserve">Caso a caso; exige entrega de imagem</t>
  </si>
  <si>
    <t xml:space="preserve">Projeto criativo pontual</t>
  </si>
  <si>
    <t xml:space="preserve">R$ 3.000</t>
  </si>
  <si>
    <t xml:space="preserve">Grafite / intervenção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</si>
</sst>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&quot;R$ &quot;#,##0"/>
    <numFmt numFmtId="167" formatCode="dd/mm/yyyy"/>
    <numFmt numFmtId="168" formatCode="&quot;R$ &quot;#,##0.00"/>
    <numFmt numFmtId="169" formatCode="0%"/>
    <numFmt numFmtId="170" formatCode="#,##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3D2E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11"/>
      <color rgb="FFD9622B"/>
      <name val="Arial"/>
      <family val="0"/>
      <charset val="1"/>
    </font>
    <font>
      <b val="true"/>
      <sz val="10"/>
      <color rgb="FFD9622B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A7B4A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F3D2E"/>
      <name val="Arial"/>
      <family val="0"/>
      <charset val="1"/>
    </font>
    <font>
      <sz val="8"/>
      <color rgb="FF1A1A1A"/>
      <name val="Arial"/>
      <family val="0"/>
      <charset val="1"/>
    </font>
    <font>
      <i val="true"/>
      <sz val="9"/>
      <color rgb="FF5F5E5A"/>
      <name val="Arial"/>
      <family val="0"/>
      <charset val="1"/>
    </font>
    <font>
      <b val="true"/>
      <sz val="9"/>
      <color rgb="FFA32D2D"/>
      <name val="Arial"/>
      <family val="0"/>
      <charset val="1"/>
    </font>
    <font>
      <sz val="9"/>
      <color rgb="FFA32D2D"/>
      <name val="Arial"/>
      <family val="0"/>
      <charset val="1"/>
    </font>
    <font>
      <sz val="9"/>
      <color rgb="FF3B6D11"/>
      <name val="Arial"/>
      <family val="0"/>
      <charset val="1"/>
    </font>
    <font>
      <b val="true"/>
      <sz val="8"/>
      <color rgb="FF1A1A1A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b val="true"/>
      <sz val="13"/>
      <color rgb="FF0F3D2E"/>
      <name val="Arial"/>
      <family val="0"/>
      <charset val="1"/>
    </font>
    <font>
      <b val="true"/>
      <sz val="9"/>
      <color rgb="FFD9622B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EDEDEA"/>
        <bgColor rgb="FFE7EDE9"/>
      </patternFill>
    </fill>
    <fill>
      <patternFill patternType="solid">
        <fgColor rgb="FFE7EDE9"/>
        <bgColor rgb="FFEDEDEA"/>
      </patternFill>
    </fill>
    <fill>
      <patternFill patternType="solid">
        <fgColor rgb="FFD9622B"/>
        <bgColor rgb="FFFF8080"/>
      </patternFill>
    </fill>
    <fill>
      <patternFill patternType="solid">
        <fgColor rgb="FF0F3D2E"/>
        <bgColor rgb="FF003366"/>
      </patternFill>
    </fill>
    <fill>
      <patternFill patternType="solid">
        <fgColor rgb="FFF5EFE0"/>
        <bgColor rgb="FFFAEEDA"/>
      </patternFill>
    </fill>
    <fill>
      <patternFill patternType="solid">
        <fgColor rgb="FFFFF3C4"/>
        <bgColor rgb="FFFAEEDA"/>
      </patternFill>
    </fill>
    <fill>
      <patternFill patternType="solid">
        <fgColor rgb="FFEAF3DE"/>
        <bgColor rgb="FFE7EDE9"/>
      </patternFill>
    </fill>
    <fill>
      <patternFill patternType="solid">
        <fgColor rgb="FFFAEEDA"/>
        <bgColor rgb="FFF5EFE0"/>
      </patternFill>
    </fill>
    <fill>
      <patternFill patternType="solid">
        <fgColor rgb="FFFCEBEB"/>
        <bgColor rgb="FFF5EFE0"/>
      </patternFill>
    </fill>
    <fill>
      <patternFill patternType="solid">
        <fgColor rgb="FF5F5E5A"/>
        <bgColor rgb="FF8A7B4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C9C4"/>
      </left>
      <right style="thin">
        <color rgb="FFC9C9C4"/>
      </right>
      <top style="thin">
        <color rgb="FFC9C9C4"/>
      </top>
      <bottom style="thin">
        <color rgb="FFC9C9C4"/>
      </bottom>
      <diagonal/>
    </border>
    <border diagonalUp="false" diagonalDown="false">
      <left style="thin">
        <color rgb="FFC9C9C4"/>
      </left>
      <right/>
      <top style="thin">
        <color rgb="FFC9C9C4"/>
      </top>
      <bottom style="thin">
        <color rgb="FFC9C9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color rgb="FF27500A"/>
        <sz val="9"/>
      </font>
      <fill>
        <patternFill>
          <bgColor rgb="FFEAF3DE"/>
        </patternFill>
      </fill>
    </dxf>
    <dxf>
      <font>
        <name val="Arial"/>
        <charset val="1"/>
        <family val="0"/>
        <color rgb="FF633806"/>
        <sz val="9"/>
      </font>
      <fill>
        <patternFill>
          <bgColor rgb="FFFAEEDA"/>
        </patternFill>
      </fill>
    </dxf>
    <dxf>
      <font>
        <name val="Arial"/>
        <charset val="1"/>
        <family val="0"/>
        <color rgb="FF791F1F"/>
        <sz val="9"/>
      </font>
      <fill>
        <patternFill>
          <bgColor rgb="FFFCEB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91F1F"/>
      <rgbColor rgb="FF3B6D11"/>
      <rgbColor rgb="FF000080"/>
      <rgbColor rgb="FF808000"/>
      <rgbColor rgb="FF800080"/>
      <rgbColor rgb="FF008080"/>
      <rgbColor rgb="FFC9C9C4"/>
      <rgbColor rgb="FF8A7B4A"/>
      <rgbColor rgb="FF9999FF"/>
      <rgbColor rgb="FF633806"/>
      <rgbColor rgb="FFFFF3C4"/>
      <rgbColor rgb="FFE7EDE9"/>
      <rgbColor rgb="FF660066"/>
      <rgbColor rgb="FFFF8080"/>
      <rgbColor rgb="FF0066CC"/>
      <rgbColor rgb="FFFCEB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A"/>
      <rgbColor rgb="FFEAF3DE"/>
      <rgbColor rgb="FFFAEEDA"/>
      <rgbColor rgb="FF99CCFF"/>
      <rgbColor rgb="FFFF99CC"/>
      <rgbColor rgb="FFCC99FF"/>
      <rgbColor rgb="FFF5EFE0"/>
      <rgbColor rgb="FF3366FF"/>
      <rgbColor rgb="FF33CCCC"/>
      <rgbColor rgb="FF99CC00"/>
      <rgbColor rgb="FFFFCC00"/>
      <rgbColor rgb="FFFF9900"/>
      <rgbColor rgb="FFD9622B"/>
      <rgbColor rgb="FF5F5E5A"/>
      <rgbColor rgb="FF969696"/>
      <rgbColor rgb="FF003366"/>
      <rgbColor rgb="FF339966"/>
      <rgbColor rgb="FF0F3D2E"/>
      <rgbColor rgb="FF27500A"/>
      <rgbColor rgb="FFA32D2D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7" min="3" style="1" width="20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27.75" hidden="false" customHeight="true" outlineLevel="0" collapsed="false">
      <c r="B6" s="5" t="s">
        <v>3</v>
      </c>
      <c r="C6" s="6" t="s">
        <v>4</v>
      </c>
      <c r="D6" s="6"/>
      <c r="E6" s="6"/>
      <c r="F6" s="6"/>
      <c r="G6" s="6"/>
    </row>
    <row r="7" customFormat="false" ht="27.75" hidden="false" customHeight="true" outlineLevel="0" collapsed="false">
      <c r="B7" s="5" t="s">
        <v>3</v>
      </c>
      <c r="C7" s="6" t="s">
        <v>5</v>
      </c>
      <c r="D7" s="6"/>
      <c r="E7" s="6"/>
      <c r="F7" s="6"/>
      <c r="G7" s="6"/>
    </row>
    <row r="8" customFormat="false" ht="27.75" hidden="false" customHeight="true" outlineLevel="0" collapsed="false">
      <c r="B8" s="5" t="s">
        <v>3</v>
      </c>
      <c r="C8" s="6" t="s">
        <v>6</v>
      </c>
      <c r="D8" s="6"/>
      <c r="E8" s="6"/>
      <c r="F8" s="6"/>
      <c r="G8" s="6"/>
    </row>
    <row r="9" customFormat="false" ht="27.75" hidden="false" customHeight="true" outlineLevel="0" collapsed="false">
      <c r="B9" s="5" t="s">
        <v>3</v>
      </c>
      <c r="C9" s="6" t="s">
        <v>7</v>
      </c>
      <c r="D9" s="6"/>
      <c r="E9" s="6"/>
      <c r="F9" s="6"/>
      <c r="G9" s="6"/>
    </row>
    <row r="10" customFormat="false" ht="27.75" hidden="false" customHeight="true" outlineLevel="0" collapsed="false">
      <c r="B10" s="5" t="s">
        <v>3</v>
      </c>
      <c r="C10" s="6" t="s">
        <v>8</v>
      </c>
      <c r="D10" s="6"/>
      <c r="E10" s="6"/>
      <c r="F10" s="6"/>
      <c r="G10" s="6"/>
    </row>
    <row r="11" customFormat="false" ht="27.75" hidden="false" customHeight="true" outlineLevel="0" collapsed="false">
      <c r="B11" s="5" t="s">
        <v>3</v>
      </c>
      <c r="C11" s="6" t="s">
        <v>9</v>
      </c>
      <c r="D11" s="6"/>
      <c r="E11" s="6"/>
      <c r="F11" s="6"/>
      <c r="G11" s="6"/>
    </row>
    <row r="13" customFormat="false" ht="15" hidden="false" customHeight="true" outlineLevel="0" collapsed="false">
      <c r="B13" s="4" t="s">
        <v>10</v>
      </c>
    </row>
    <row r="14" customFormat="false" ht="24" hidden="false" customHeight="true" outlineLevel="0" collapsed="false">
      <c r="B14" s="7" t="s">
        <v>11</v>
      </c>
      <c r="C14" s="6" t="s">
        <v>12</v>
      </c>
      <c r="D14" s="6"/>
      <c r="E14" s="6"/>
      <c r="F14" s="6"/>
      <c r="G14" s="6"/>
    </row>
    <row r="15" customFormat="false" ht="24" hidden="false" customHeight="true" outlineLevel="0" collapsed="false">
      <c r="B15" s="7" t="s">
        <v>13</v>
      </c>
      <c r="C15" s="6" t="s">
        <v>14</v>
      </c>
      <c r="D15" s="6"/>
      <c r="E15" s="6"/>
      <c r="F15" s="6"/>
      <c r="G15" s="6"/>
    </row>
    <row r="16" customFormat="false" ht="24" hidden="false" customHeight="true" outlineLevel="0" collapsed="false">
      <c r="B16" s="7" t="s">
        <v>15</v>
      </c>
      <c r="C16" s="6" t="s">
        <v>16</v>
      </c>
      <c r="D16" s="6"/>
      <c r="E16" s="6"/>
      <c r="F16" s="6"/>
      <c r="G16" s="6"/>
    </row>
    <row r="17" customFormat="false" ht="24" hidden="false" customHeight="true" outlineLevel="0" collapsed="false">
      <c r="B17" s="7" t="s">
        <v>17</v>
      </c>
      <c r="C17" s="6" t="s">
        <v>18</v>
      </c>
      <c r="D17" s="6"/>
      <c r="E17" s="6"/>
      <c r="F17" s="6"/>
      <c r="G17" s="6"/>
    </row>
    <row r="18" customFormat="false" ht="24" hidden="false" customHeight="true" outlineLevel="0" collapsed="false">
      <c r="B18" s="7" t="s">
        <v>19</v>
      </c>
      <c r="C18" s="6" t="s">
        <v>20</v>
      </c>
      <c r="D18" s="6"/>
      <c r="E18" s="6"/>
      <c r="F18" s="6"/>
      <c r="G18" s="6"/>
    </row>
    <row r="19" customFormat="false" ht="24" hidden="false" customHeight="true" outlineLevel="0" collapsed="false">
      <c r="B19" s="7" t="s">
        <v>21</v>
      </c>
      <c r="C19" s="6" t="s">
        <v>22</v>
      </c>
      <c r="D19" s="6"/>
      <c r="E19" s="6"/>
      <c r="F19" s="6"/>
      <c r="G19" s="6"/>
    </row>
    <row r="21" customFormat="false" ht="15" hidden="false" customHeight="true" outlineLevel="0" collapsed="false">
      <c r="B21" s="4" t="s">
        <v>23</v>
      </c>
    </row>
    <row r="22" customFormat="false" ht="24" hidden="false" customHeight="true" outlineLevel="0" collapsed="false">
      <c r="B22" s="7" t="s">
        <v>24</v>
      </c>
      <c r="C22" s="6" t="s">
        <v>25</v>
      </c>
      <c r="D22" s="6"/>
      <c r="E22" s="6"/>
      <c r="F22" s="6"/>
      <c r="G22" s="6"/>
    </row>
    <row r="23" customFormat="false" ht="24" hidden="false" customHeight="true" outlineLevel="0" collapsed="false">
      <c r="B23" s="7" t="s">
        <v>26</v>
      </c>
      <c r="C23" s="6" t="s">
        <v>27</v>
      </c>
      <c r="D23" s="6"/>
      <c r="E23" s="6"/>
      <c r="F23" s="6"/>
      <c r="G23" s="6"/>
    </row>
    <row r="24" customFormat="false" ht="24" hidden="false" customHeight="true" outlineLevel="0" collapsed="false">
      <c r="B24" s="7" t="s">
        <v>28</v>
      </c>
      <c r="C24" s="6" t="s">
        <v>29</v>
      </c>
      <c r="D24" s="6"/>
      <c r="E24" s="6"/>
      <c r="F24" s="6"/>
      <c r="G24" s="6"/>
    </row>
    <row r="26" customFormat="false" ht="15" hidden="false" customHeight="true" outlineLevel="0" collapsed="false">
      <c r="B26" s="4" t="s">
        <v>30</v>
      </c>
    </row>
    <row r="27" customFormat="false" ht="15" hidden="false" customHeight="true" outlineLevel="0" collapsed="false">
      <c r="B27" s="8" t="s">
        <v>11</v>
      </c>
      <c r="C27" s="9" t="n">
        <f aca="false">COUNTIF('Contas &amp; Rota'!$F$4:$F$200,"CONFIRMADO")</f>
        <v>1</v>
      </c>
    </row>
    <row r="28" customFormat="false" ht="15" hidden="false" customHeight="true" outlineLevel="0" collapsed="false">
      <c r="B28" s="8" t="s">
        <v>13</v>
      </c>
      <c r="C28" s="9" t="n">
        <f aca="false">COUNTIF('Contas &amp; Rota'!$F$4:$F$200,"ALINHADO")</f>
        <v>8</v>
      </c>
    </row>
    <row r="29" customFormat="false" ht="15" hidden="false" customHeight="true" outlineLevel="0" collapsed="false">
      <c r="B29" s="8" t="s">
        <v>15</v>
      </c>
      <c r="C29" s="9" t="n">
        <f aca="false">COUNTIF('Contas &amp; Rota'!$F$4:$F$200,"EM NEGOCIAÇÃO")</f>
        <v>9</v>
      </c>
    </row>
    <row r="30" customFormat="false" ht="15" hidden="false" customHeight="true" outlineLevel="0" collapsed="false">
      <c r="B30" s="8" t="s">
        <v>17</v>
      </c>
      <c r="C30" s="9" t="n">
        <f aca="false">COUNTIF('Contas &amp; Rota'!$F$4:$F$200,"EM AVALIAÇÃO")</f>
        <v>3</v>
      </c>
    </row>
    <row r="31" customFormat="false" ht="15" hidden="false" customHeight="true" outlineLevel="0" collapsed="false">
      <c r="B31" s="8" t="s">
        <v>19</v>
      </c>
      <c r="C31" s="9" t="n">
        <f aca="false">COUNTIF('Contas &amp; Rota'!$F$4:$F$200,"HIPÓTESE")</f>
        <v>5</v>
      </c>
    </row>
    <row r="32" customFormat="false" ht="15" hidden="false" customHeight="true" outlineLevel="0" collapsed="false">
      <c r="B32" s="8" t="s">
        <v>21</v>
      </c>
      <c r="C32" s="9" t="n">
        <f aca="false">COUNTIF('Contas &amp; Rota'!$F$4:$F$200,"PENDENTE DE DADOS")</f>
        <v>0</v>
      </c>
    </row>
    <row r="33" customFormat="false" ht="15" hidden="false" customHeight="true" outlineLevel="0" collapsed="false">
      <c r="B33" s="10" t="s">
        <v>31</v>
      </c>
      <c r="C33" s="11" t="n">
        <f aca="false">COUNTA('Contas &amp; Rota'!$A$4:$A$200)</f>
        <v>26</v>
      </c>
    </row>
    <row r="36" customFormat="false" ht="15" hidden="false" customHeight="true" outlineLevel="0" collapsed="false">
      <c r="B36" s="4" t="s">
        <v>32</v>
      </c>
    </row>
    <row r="37" customFormat="false" ht="24" hidden="false" customHeight="true" outlineLevel="0" collapsed="false">
      <c r="B37" s="7" t="s">
        <v>33</v>
      </c>
      <c r="C37" s="12" t="s">
        <v>34</v>
      </c>
      <c r="D37" s="12"/>
      <c r="E37" s="12"/>
      <c r="F37" s="12"/>
      <c r="G37" s="12"/>
    </row>
    <row r="38" customFormat="false" ht="24" hidden="false" customHeight="true" outlineLevel="0" collapsed="false">
      <c r="B38" s="7" t="s">
        <v>35</v>
      </c>
      <c r="C38" s="12" t="s">
        <v>36</v>
      </c>
      <c r="D38" s="12"/>
      <c r="E38" s="12"/>
      <c r="F38" s="12"/>
      <c r="G38" s="12"/>
    </row>
    <row r="39" customFormat="false" ht="24" hidden="false" customHeight="true" outlineLevel="0" collapsed="false">
      <c r="B39" s="7" t="s">
        <v>37</v>
      </c>
      <c r="C39" s="12" t="s">
        <v>38</v>
      </c>
      <c r="D39" s="12"/>
      <c r="E39" s="12"/>
      <c r="F39" s="12"/>
      <c r="G39" s="12"/>
    </row>
    <row r="41" customFormat="false" ht="24" hidden="false" customHeight="true" outlineLevel="0" collapsed="false">
      <c r="B41" s="7" t="s">
        <v>39</v>
      </c>
      <c r="C41" s="13" t="s">
        <v>40</v>
      </c>
      <c r="D41" s="13"/>
      <c r="E41" s="13"/>
      <c r="F41" s="13"/>
      <c r="G41" s="13"/>
    </row>
    <row r="42" customFormat="false" ht="24" hidden="false" customHeight="true" outlineLevel="0" collapsed="false">
      <c r="B42" s="7" t="s">
        <v>41</v>
      </c>
      <c r="C42" s="13" t="s">
        <v>42</v>
      </c>
      <c r="D42" s="13"/>
      <c r="E42" s="13"/>
      <c r="F42" s="13"/>
      <c r="G42" s="13"/>
    </row>
    <row r="44" customFormat="false" ht="24" hidden="false" customHeight="true" outlineLevel="0" collapsed="false">
      <c r="B44" s="7" t="s">
        <v>43</v>
      </c>
      <c r="C44" s="13" t="s">
        <v>44</v>
      </c>
      <c r="D44" s="13"/>
      <c r="E44" s="13"/>
      <c r="F44" s="13"/>
      <c r="G44" s="13"/>
    </row>
  </sheetData>
  <mergeCells count="21">
    <mergeCell ref="C6:G6"/>
    <mergeCell ref="C7:G7"/>
    <mergeCell ref="C8:G8"/>
    <mergeCell ref="C9:G9"/>
    <mergeCell ref="C10:G10"/>
    <mergeCell ref="C11:G11"/>
    <mergeCell ref="C14:G14"/>
    <mergeCell ref="C15:G15"/>
    <mergeCell ref="C16:G16"/>
    <mergeCell ref="C17:G17"/>
    <mergeCell ref="C18:G18"/>
    <mergeCell ref="C19:G19"/>
    <mergeCell ref="C22:G22"/>
    <mergeCell ref="C23:G23"/>
    <mergeCell ref="C24:G24"/>
    <mergeCell ref="C37:G37"/>
    <mergeCell ref="C38:G38"/>
    <mergeCell ref="C39:G39"/>
    <mergeCell ref="C41:G41"/>
    <mergeCell ref="C42:G42"/>
    <mergeCell ref="C44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5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6" min="6" style="1" width="16"/>
    <col collapsed="false" customWidth="true" hidden="false" outlineLevel="0" max="9" min="7" style="1" width="14"/>
    <col collapsed="false" customWidth="true" hidden="false" outlineLevel="0" max="10" min="10" style="1" width="13"/>
    <col collapsed="false" customWidth="true" hidden="false" outlineLevel="0" max="11" min="11" style="1" width="10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13"/>
  </cols>
  <sheetData>
    <row r="1" customFormat="false" ht="19.5" hidden="false" customHeight="true" outlineLevel="0" collapsed="false">
      <c r="A1" s="14" t="s">
        <v>45</v>
      </c>
      <c r="B1" s="14"/>
      <c r="C1" s="14"/>
      <c r="D1" s="14"/>
      <c r="E1" s="14"/>
      <c r="F1" s="14"/>
      <c r="G1" s="14" t="s">
        <v>46</v>
      </c>
      <c r="H1" s="14"/>
      <c r="I1" s="14"/>
      <c r="J1" s="14"/>
      <c r="K1" s="14"/>
      <c r="L1" s="14" t="s">
        <v>47</v>
      </c>
      <c r="M1" s="14"/>
      <c r="N1" s="14"/>
      <c r="O1" s="14"/>
      <c r="P1" s="14"/>
    </row>
    <row r="2" customFormat="false" ht="33.75" hidden="false" customHeight="true" outlineLevel="0" collapsed="false">
      <c r="A2" s="15" t="s">
        <v>48</v>
      </c>
      <c r="B2" s="15" t="s">
        <v>49</v>
      </c>
      <c r="C2" s="15" t="s">
        <v>50</v>
      </c>
      <c r="D2" s="15" t="s">
        <v>51</v>
      </c>
      <c r="E2" s="15" t="s">
        <v>52</v>
      </c>
      <c r="F2" s="15" t="s">
        <v>53</v>
      </c>
      <c r="G2" s="15" t="s">
        <v>54</v>
      </c>
      <c r="H2" s="15" t="s">
        <v>55</v>
      </c>
      <c r="I2" s="15" t="s">
        <v>56</v>
      </c>
      <c r="J2" s="15" t="s">
        <v>57</v>
      </c>
      <c r="K2" s="15" t="s">
        <v>58</v>
      </c>
      <c r="L2" s="15" t="s">
        <v>59</v>
      </c>
      <c r="M2" s="15" t="s">
        <v>60</v>
      </c>
      <c r="N2" s="15" t="s">
        <v>61</v>
      </c>
      <c r="O2" s="15" t="s">
        <v>62</v>
      </c>
    </row>
    <row r="3" customFormat="false" ht="15" hidden="false" customHeight="true" outlineLevel="0" collapsed="false">
      <c r="A3" s="16" t="s">
        <v>63</v>
      </c>
      <c r="B3" s="16" t="s">
        <v>64</v>
      </c>
      <c r="C3" s="16" t="s">
        <v>65</v>
      </c>
      <c r="D3" s="16" t="s">
        <v>66</v>
      </c>
      <c r="E3" s="16" t="s">
        <v>67</v>
      </c>
      <c r="F3" s="16" t="s">
        <v>15</v>
      </c>
      <c r="G3" s="16" t="n">
        <v>120</v>
      </c>
      <c r="H3" s="16" t="n">
        <v>300</v>
      </c>
      <c r="I3" s="16" t="s">
        <v>68</v>
      </c>
      <c r="J3" s="17" t="n">
        <v>6000</v>
      </c>
      <c r="K3" s="17" t="n">
        <v>25</v>
      </c>
      <c r="L3" s="16" t="s">
        <v>69</v>
      </c>
      <c r="M3" s="16" t="s">
        <v>70</v>
      </c>
      <c r="N3" s="18" t="s">
        <v>71</v>
      </c>
      <c r="O3" s="16" t="s">
        <v>72</v>
      </c>
    </row>
    <row r="4" customFormat="false" ht="25.5" hidden="false" customHeight="true" outlineLevel="0" collapsed="false">
      <c r="A4" s="13" t="s">
        <v>73</v>
      </c>
      <c r="B4" s="13" t="s">
        <v>74</v>
      </c>
      <c r="C4" s="13" t="s">
        <v>75</v>
      </c>
      <c r="D4" s="13" t="s">
        <v>76</v>
      </c>
      <c r="E4" s="13" t="s">
        <v>77</v>
      </c>
      <c r="F4" s="13" t="s">
        <v>11</v>
      </c>
      <c r="G4" s="19"/>
      <c r="H4" s="19"/>
      <c r="I4" s="13" t="s">
        <v>78</v>
      </c>
      <c r="J4" s="20"/>
      <c r="K4" s="20"/>
      <c r="L4" s="19"/>
      <c r="M4" s="21"/>
      <c r="N4" s="22"/>
      <c r="O4" s="19"/>
    </row>
    <row r="5" customFormat="false" ht="25.5" hidden="false" customHeight="true" outlineLevel="0" collapsed="false">
      <c r="A5" s="13" t="s">
        <v>79</v>
      </c>
      <c r="B5" s="13" t="s">
        <v>64</v>
      </c>
      <c r="C5" s="13" t="s">
        <v>80</v>
      </c>
      <c r="D5" s="13" t="s">
        <v>81</v>
      </c>
      <c r="E5" s="19"/>
      <c r="F5" s="13" t="s">
        <v>13</v>
      </c>
      <c r="G5" s="19"/>
      <c r="H5" s="19"/>
      <c r="I5" s="13" t="s">
        <v>78</v>
      </c>
      <c r="J5" s="20"/>
      <c r="K5" s="20"/>
      <c r="L5" s="19"/>
      <c r="M5" s="21"/>
      <c r="N5" s="22"/>
      <c r="O5" s="19"/>
    </row>
    <row r="6" customFormat="false" ht="25.5" hidden="false" customHeight="true" outlineLevel="0" collapsed="false">
      <c r="A6" s="13" t="s">
        <v>82</v>
      </c>
      <c r="B6" s="13" t="s">
        <v>64</v>
      </c>
      <c r="C6" s="13" t="s">
        <v>80</v>
      </c>
      <c r="D6" s="13" t="s">
        <v>81</v>
      </c>
      <c r="E6" s="19"/>
      <c r="F6" s="13" t="s">
        <v>13</v>
      </c>
      <c r="G6" s="19"/>
      <c r="H6" s="19"/>
      <c r="I6" s="13" t="s">
        <v>78</v>
      </c>
      <c r="J6" s="20"/>
      <c r="K6" s="20"/>
      <c r="L6" s="19"/>
      <c r="M6" s="21"/>
      <c r="N6" s="22"/>
      <c r="O6" s="19"/>
    </row>
    <row r="7" customFormat="false" ht="25.5" hidden="false" customHeight="true" outlineLevel="0" collapsed="false">
      <c r="A7" s="13" t="s">
        <v>83</v>
      </c>
      <c r="B7" s="13" t="s">
        <v>64</v>
      </c>
      <c r="C7" s="13" t="s">
        <v>84</v>
      </c>
      <c r="D7" s="13" t="s">
        <v>85</v>
      </c>
      <c r="E7" s="19"/>
      <c r="F7" s="13" t="s">
        <v>15</v>
      </c>
      <c r="G7" s="19"/>
      <c r="H7" s="19"/>
      <c r="I7" s="13" t="s">
        <v>68</v>
      </c>
      <c r="J7" s="20"/>
      <c r="K7" s="20"/>
      <c r="L7" s="19"/>
      <c r="M7" s="21"/>
      <c r="N7" s="22"/>
      <c r="O7" s="19"/>
    </row>
    <row r="8" customFormat="false" ht="25.5" hidden="false" customHeight="true" outlineLevel="0" collapsed="false">
      <c r="A8" s="13" t="s">
        <v>86</v>
      </c>
      <c r="B8" s="13" t="s">
        <v>64</v>
      </c>
      <c r="C8" s="13" t="s">
        <v>84</v>
      </c>
      <c r="D8" s="13" t="s">
        <v>76</v>
      </c>
      <c r="E8" s="19"/>
      <c r="F8" s="13" t="s">
        <v>15</v>
      </c>
      <c r="G8" s="19"/>
      <c r="H8" s="19"/>
      <c r="I8" s="13" t="s">
        <v>68</v>
      </c>
      <c r="J8" s="20"/>
      <c r="K8" s="20"/>
      <c r="L8" s="19"/>
      <c r="M8" s="21"/>
      <c r="N8" s="22"/>
      <c r="O8" s="19"/>
    </row>
    <row r="9" customFormat="false" ht="25.5" hidden="false" customHeight="true" outlineLevel="0" collapsed="false">
      <c r="A9" s="13" t="s">
        <v>87</v>
      </c>
      <c r="B9" s="13" t="s">
        <v>64</v>
      </c>
      <c r="C9" s="13" t="s">
        <v>84</v>
      </c>
      <c r="D9" s="13" t="s">
        <v>76</v>
      </c>
      <c r="E9" s="19"/>
      <c r="F9" s="13" t="s">
        <v>15</v>
      </c>
      <c r="G9" s="19"/>
      <c r="H9" s="19"/>
      <c r="I9" s="13" t="s">
        <v>68</v>
      </c>
      <c r="J9" s="20"/>
      <c r="K9" s="20"/>
      <c r="L9" s="19"/>
      <c r="M9" s="21"/>
      <c r="N9" s="22"/>
      <c r="O9" s="19"/>
    </row>
    <row r="10" customFormat="false" ht="25.5" hidden="false" customHeight="true" outlineLevel="0" collapsed="false">
      <c r="A10" s="13" t="s">
        <v>88</v>
      </c>
      <c r="B10" s="13" t="s">
        <v>89</v>
      </c>
      <c r="C10" s="13" t="s">
        <v>90</v>
      </c>
      <c r="D10" s="13" t="s">
        <v>85</v>
      </c>
      <c r="E10" s="19"/>
      <c r="F10" s="13" t="s">
        <v>15</v>
      </c>
      <c r="G10" s="19"/>
      <c r="H10" s="19"/>
      <c r="I10" s="13" t="s">
        <v>68</v>
      </c>
      <c r="J10" s="20"/>
      <c r="K10" s="20"/>
      <c r="L10" s="19"/>
      <c r="M10" s="21"/>
      <c r="N10" s="22"/>
      <c r="O10" s="19"/>
    </row>
    <row r="11" customFormat="false" ht="25.5" hidden="false" customHeight="true" outlineLevel="0" collapsed="false">
      <c r="A11" s="13" t="s">
        <v>91</v>
      </c>
      <c r="B11" s="13" t="s">
        <v>92</v>
      </c>
      <c r="C11" s="13" t="s">
        <v>93</v>
      </c>
      <c r="D11" s="13" t="s">
        <v>85</v>
      </c>
      <c r="E11" s="19"/>
      <c r="F11" s="13" t="s">
        <v>15</v>
      </c>
      <c r="G11" s="19"/>
      <c r="H11" s="19"/>
      <c r="I11" s="13" t="s">
        <v>68</v>
      </c>
      <c r="J11" s="20"/>
      <c r="K11" s="20"/>
      <c r="L11" s="19"/>
      <c r="M11" s="21"/>
      <c r="N11" s="22"/>
      <c r="O11" s="19"/>
    </row>
    <row r="12" customFormat="false" ht="25.5" hidden="false" customHeight="true" outlineLevel="0" collapsed="false">
      <c r="A12" s="13" t="s">
        <v>94</v>
      </c>
      <c r="B12" s="13" t="s">
        <v>95</v>
      </c>
      <c r="C12" s="13" t="s">
        <v>65</v>
      </c>
      <c r="D12" s="13" t="s">
        <v>85</v>
      </c>
      <c r="E12" s="19"/>
      <c r="F12" s="13" t="s">
        <v>15</v>
      </c>
      <c r="G12" s="19"/>
      <c r="H12" s="19"/>
      <c r="I12" s="13" t="s">
        <v>68</v>
      </c>
      <c r="J12" s="20"/>
      <c r="K12" s="20"/>
      <c r="L12" s="19"/>
      <c r="M12" s="21"/>
      <c r="N12" s="22"/>
      <c r="O12" s="19"/>
    </row>
    <row r="13" customFormat="false" ht="25.5" hidden="false" customHeight="true" outlineLevel="0" collapsed="false">
      <c r="A13" s="13" t="s">
        <v>96</v>
      </c>
      <c r="B13" s="13" t="s">
        <v>95</v>
      </c>
      <c r="C13" s="13" t="s">
        <v>97</v>
      </c>
      <c r="D13" s="13" t="s">
        <v>85</v>
      </c>
      <c r="E13" s="19"/>
      <c r="F13" s="13" t="s">
        <v>15</v>
      </c>
      <c r="G13" s="19"/>
      <c r="H13" s="19"/>
      <c r="I13" s="13" t="s">
        <v>68</v>
      </c>
      <c r="J13" s="20"/>
      <c r="K13" s="20"/>
      <c r="L13" s="19"/>
      <c r="M13" s="21"/>
      <c r="N13" s="22"/>
      <c r="O13" s="19"/>
    </row>
    <row r="14" customFormat="false" ht="25.5" hidden="false" customHeight="true" outlineLevel="0" collapsed="false">
      <c r="A14" s="13" t="s">
        <v>98</v>
      </c>
      <c r="B14" s="13" t="s">
        <v>95</v>
      </c>
      <c r="C14" s="13" t="s">
        <v>97</v>
      </c>
      <c r="D14" s="13" t="s">
        <v>85</v>
      </c>
      <c r="E14" s="19"/>
      <c r="F14" s="13" t="s">
        <v>17</v>
      </c>
      <c r="G14" s="19"/>
      <c r="H14" s="19"/>
      <c r="I14" s="13" t="s">
        <v>68</v>
      </c>
      <c r="J14" s="20"/>
      <c r="K14" s="20"/>
      <c r="L14" s="19"/>
      <c r="M14" s="21"/>
      <c r="N14" s="22"/>
      <c r="O14" s="19"/>
    </row>
    <row r="15" customFormat="false" ht="25.5" hidden="false" customHeight="true" outlineLevel="0" collapsed="false">
      <c r="A15" s="13" t="s">
        <v>99</v>
      </c>
      <c r="B15" s="13" t="s">
        <v>95</v>
      </c>
      <c r="C15" s="13" t="s">
        <v>100</v>
      </c>
      <c r="D15" s="13" t="s">
        <v>101</v>
      </c>
      <c r="E15" s="19"/>
      <c r="F15" s="13" t="s">
        <v>15</v>
      </c>
      <c r="G15" s="19"/>
      <c r="H15" s="19"/>
      <c r="I15" s="13" t="s">
        <v>68</v>
      </c>
      <c r="J15" s="20"/>
      <c r="K15" s="20"/>
      <c r="L15" s="19"/>
      <c r="M15" s="21"/>
      <c r="N15" s="22"/>
      <c r="O15" s="19"/>
    </row>
    <row r="16" customFormat="false" ht="25.5" hidden="false" customHeight="true" outlineLevel="0" collapsed="false">
      <c r="A16" s="13" t="s">
        <v>102</v>
      </c>
      <c r="B16" s="13" t="s">
        <v>95</v>
      </c>
      <c r="C16" s="13" t="s">
        <v>97</v>
      </c>
      <c r="D16" s="13" t="s">
        <v>85</v>
      </c>
      <c r="E16" s="19"/>
      <c r="F16" s="13" t="s">
        <v>17</v>
      </c>
      <c r="G16" s="19"/>
      <c r="H16" s="19"/>
      <c r="I16" s="13" t="s">
        <v>68</v>
      </c>
      <c r="J16" s="20"/>
      <c r="K16" s="20"/>
      <c r="L16" s="19"/>
      <c r="M16" s="21"/>
      <c r="N16" s="22"/>
      <c r="O16" s="19"/>
    </row>
    <row r="17" customFormat="false" ht="25.5" hidden="false" customHeight="true" outlineLevel="0" collapsed="false">
      <c r="A17" s="13" t="s">
        <v>103</v>
      </c>
      <c r="B17" s="13" t="s">
        <v>104</v>
      </c>
      <c r="C17" s="13" t="s">
        <v>105</v>
      </c>
      <c r="D17" s="13" t="s">
        <v>81</v>
      </c>
      <c r="E17" s="19"/>
      <c r="F17" s="13" t="s">
        <v>13</v>
      </c>
      <c r="G17" s="19"/>
      <c r="H17" s="19"/>
      <c r="I17" s="13" t="s">
        <v>68</v>
      </c>
      <c r="J17" s="20"/>
      <c r="K17" s="20"/>
      <c r="L17" s="19"/>
      <c r="M17" s="21"/>
      <c r="N17" s="22"/>
      <c r="O17" s="19"/>
    </row>
    <row r="18" customFormat="false" ht="25.5" hidden="false" customHeight="true" outlineLevel="0" collapsed="false">
      <c r="A18" s="13" t="s">
        <v>106</v>
      </c>
      <c r="B18" s="13" t="s">
        <v>104</v>
      </c>
      <c r="C18" s="13" t="s">
        <v>107</v>
      </c>
      <c r="D18" s="13" t="s">
        <v>76</v>
      </c>
      <c r="E18" s="19"/>
      <c r="F18" s="13" t="s">
        <v>15</v>
      </c>
      <c r="G18" s="19"/>
      <c r="H18" s="19"/>
      <c r="I18" s="13" t="s">
        <v>108</v>
      </c>
      <c r="J18" s="20"/>
      <c r="K18" s="20"/>
      <c r="L18" s="19"/>
      <c r="M18" s="21"/>
      <c r="N18" s="22"/>
      <c r="O18" s="19"/>
    </row>
    <row r="19" customFormat="false" ht="25.5" hidden="false" customHeight="true" outlineLevel="0" collapsed="false">
      <c r="A19" s="13" t="s">
        <v>109</v>
      </c>
      <c r="B19" s="13" t="s">
        <v>104</v>
      </c>
      <c r="C19" s="13" t="s">
        <v>110</v>
      </c>
      <c r="D19" s="13" t="s">
        <v>85</v>
      </c>
      <c r="E19" s="19"/>
      <c r="F19" s="13" t="s">
        <v>17</v>
      </c>
      <c r="G19" s="19"/>
      <c r="H19" s="19"/>
      <c r="I19" s="13" t="s">
        <v>68</v>
      </c>
      <c r="J19" s="20"/>
      <c r="K19" s="20"/>
      <c r="L19" s="19"/>
      <c r="M19" s="21"/>
      <c r="N19" s="22"/>
      <c r="O19" s="19"/>
    </row>
    <row r="20" customFormat="false" ht="25.5" hidden="false" customHeight="true" outlineLevel="0" collapsed="false">
      <c r="A20" s="13" t="s">
        <v>111</v>
      </c>
      <c r="B20" s="13" t="s">
        <v>112</v>
      </c>
      <c r="C20" s="13" t="s">
        <v>97</v>
      </c>
      <c r="D20" s="13" t="s">
        <v>85</v>
      </c>
      <c r="E20" s="19"/>
      <c r="F20" s="13" t="s">
        <v>19</v>
      </c>
      <c r="G20" s="19"/>
      <c r="H20" s="19"/>
      <c r="I20" s="13" t="s">
        <v>68</v>
      </c>
      <c r="J20" s="20"/>
      <c r="K20" s="20"/>
      <c r="L20" s="19"/>
      <c r="M20" s="21"/>
      <c r="N20" s="22"/>
      <c r="O20" s="19"/>
    </row>
    <row r="21" customFormat="false" ht="25.5" hidden="false" customHeight="true" outlineLevel="0" collapsed="false">
      <c r="A21" s="13" t="s">
        <v>113</v>
      </c>
      <c r="B21" s="13" t="s">
        <v>112</v>
      </c>
      <c r="C21" s="13" t="s">
        <v>97</v>
      </c>
      <c r="D21" s="13" t="s">
        <v>85</v>
      </c>
      <c r="E21" s="19"/>
      <c r="F21" s="13" t="s">
        <v>19</v>
      </c>
      <c r="G21" s="19"/>
      <c r="H21" s="19"/>
      <c r="I21" s="13" t="s">
        <v>68</v>
      </c>
      <c r="J21" s="20"/>
      <c r="K21" s="20"/>
      <c r="L21" s="19"/>
      <c r="M21" s="21"/>
      <c r="N21" s="22"/>
      <c r="O21" s="19"/>
    </row>
    <row r="22" customFormat="false" ht="25.5" hidden="false" customHeight="true" outlineLevel="0" collapsed="false">
      <c r="A22" s="13" t="s">
        <v>114</v>
      </c>
      <c r="B22" s="13" t="s">
        <v>112</v>
      </c>
      <c r="C22" s="13" t="s">
        <v>97</v>
      </c>
      <c r="D22" s="13" t="s">
        <v>76</v>
      </c>
      <c r="E22" s="19"/>
      <c r="F22" s="13" t="s">
        <v>19</v>
      </c>
      <c r="G22" s="19"/>
      <c r="H22" s="19"/>
      <c r="I22" s="13" t="s">
        <v>68</v>
      </c>
      <c r="J22" s="20"/>
      <c r="K22" s="20"/>
      <c r="L22" s="19"/>
      <c r="M22" s="21"/>
      <c r="N22" s="22"/>
      <c r="O22" s="19"/>
    </row>
    <row r="23" customFormat="false" ht="25.5" hidden="false" customHeight="true" outlineLevel="0" collapsed="false">
      <c r="A23" s="13" t="s">
        <v>115</v>
      </c>
      <c r="B23" s="13" t="s">
        <v>112</v>
      </c>
      <c r="C23" s="13" t="s">
        <v>97</v>
      </c>
      <c r="D23" s="13" t="s">
        <v>76</v>
      </c>
      <c r="E23" s="19"/>
      <c r="F23" s="13" t="s">
        <v>19</v>
      </c>
      <c r="G23" s="19"/>
      <c r="H23" s="19"/>
      <c r="I23" s="13" t="s">
        <v>68</v>
      </c>
      <c r="J23" s="20"/>
      <c r="K23" s="20"/>
      <c r="L23" s="19"/>
      <c r="M23" s="21"/>
      <c r="N23" s="22"/>
      <c r="O23" s="19"/>
    </row>
    <row r="24" customFormat="false" ht="25.5" hidden="false" customHeight="true" outlineLevel="0" collapsed="false">
      <c r="A24" s="13" t="s">
        <v>116</v>
      </c>
      <c r="B24" s="13" t="s">
        <v>112</v>
      </c>
      <c r="C24" s="13" t="s">
        <v>104</v>
      </c>
      <c r="D24" s="13" t="s">
        <v>85</v>
      </c>
      <c r="E24" s="19"/>
      <c r="F24" s="13" t="s">
        <v>19</v>
      </c>
      <c r="G24" s="19"/>
      <c r="H24" s="19"/>
      <c r="I24" s="13" t="s">
        <v>68</v>
      </c>
      <c r="J24" s="20"/>
      <c r="K24" s="20"/>
      <c r="L24" s="19"/>
      <c r="M24" s="21"/>
      <c r="N24" s="22"/>
      <c r="O24" s="19"/>
    </row>
    <row r="25" customFormat="false" ht="25.5" hidden="false" customHeight="true" outlineLevel="0" collapsed="false">
      <c r="A25" s="13" t="s">
        <v>117</v>
      </c>
      <c r="B25" s="13" t="s">
        <v>64</v>
      </c>
      <c r="C25" s="13" t="s">
        <v>65</v>
      </c>
      <c r="D25" s="13" t="s">
        <v>66</v>
      </c>
      <c r="E25" s="19"/>
      <c r="F25" s="13" t="s">
        <v>13</v>
      </c>
      <c r="G25" s="19"/>
      <c r="H25" s="19"/>
      <c r="I25" s="13" t="s">
        <v>68</v>
      </c>
      <c r="J25" s="20"/>
      <c r="K25" s="20"/>
      <c r="L25" s="19"/>
      <c r="M25" s="21"/>
      <c r="N25" s="22"/>
      <c r="O25" s="19"/>
    </row>
    <row r="26" customFormat="false" ht="25.5" hidden="false" customHeight="true" outlineLevel="0" collapsed="false">
      <c r="A26" s="13" t="s">
        <v>118</v>
      </c>
      <c r="B26" s="13" t="s">
        <v>64</v>
      </c>
      <c r="C26" s="13" t="s">
        <v>65</v>
      </c>
      <c r="D26" s="13" t="s">
        <v>66</v>
      </c>
      <c r="E26" s="19"/>
      <c r="F26" s="13" t="s">
        <v>13</v>
      </c>
      <c r="G26" s="19"/>
      <c r="H26" s="19"/>
      <c r="I26" s="13" t="s">
        <v>68</v>
      </c>
      <c r="J26" s="20"/>
      <c r="K26" s="20"/>
      <c r="L26" s="19"/>
      <c r="M26" s="21"/>
      <c r="N26" s="22"/>
      <c r="O26" s="19"/>
    </row>
    <row r="27" customFormat="false" ht="25.5" hidden="false" customHeight="true" outlineLevel="0" collapsed="false">
      <c r="A27" s="13" t="s">
        <v>119</v>
      </c>
      <c r="B27" s="13" t="s">
        <v>64</v>
      </c>
      <c r="C27" s="13" t="s">
        <v>65</v>
      </c>
      <c r="D27" s="13" t="s">
        <v>66</v>
      </c>
      <c r="E27" s="19"/>
      <c r="F27" s="13" t="s">
        <v>13</v>
      </c>
      <c r="G27" s="19"/>
      <c r="H27" s="19"/>
      <c r="I27" s="13" t="s">
        <v>68</v>
      </c>
      <c r="J27" s="20"/>
      <c r="K27" s="20"/>
      <c r="L27" s="19"/>
      <c r="M27" s="21"/>
      <c r="N27" s="22"/>
      <c r="O27" s="19"/>
    </row>
    <row r="28" customFormat="false" ht="25.5" hidden="false" customHeight="true" outlineLevel="0" collapsed="false">
      <c r="A28" s="13" t="s">
        <v>120</v>
      </c>
      <c r="B28" s="13" t="s">
        <v>64</v>
      </c>
      <c r="C28" s="13" t="s">
        <v>65</v>
      </c>
      <c r="D28" s="13" t="s">
        <v>66</v>
      </c>
      <c r="E28" s="19"/>
      <c r="F28" s="13" t="s">
        <v>13</v>
      </c>
      <c r="G28" s="19"/>
      <c r="H28" s="19"/>
      <c r="I28" s="13" t="s">
        <v>68</v>
      </c>
      <c r="J28" s="20"/>
      <c r="K28" s="20"/>
      <c r="L28" s="19"/>
      <c r="M28" s="21"/>
      <c r="N28" s="22"/>
      <c r="O28" s="19"/>
    </row>
    <row r="29" customFormat="false" ht="25.5" hidden="false" customHeight="true" outlineLevel="0" collapsed="false">
      <c r="A29" s="13" t="s">
        <v>121</v>
      </c>
      <c r="B29" s="13" t="s">
        <v>64</v>
      </c>
      <c r="C29" s="13" t="s">
        <v>122</v>
      </c>
      <c r="D29" s="13" t="s">
        <v>66</v>
      </c>
      <c r="E29" s="19"/>
      <c r="F29" s="13" t="s">
        <v>13</v>
      </c>
      <c r="G29" s="19"/>
      <c r="H29" s="19"/>
      <c r="I29" s="13" t="s">
        <v>68</v>
      </c>
      <c r="J29" s="20"/>
      <c r="K29" s="20"/>
      <c r="L29" s="19"/>
      <c r="M29" s="21"/>
      <c r="N29" s="22"/>
      <c r="O29" s="19"/>
    </row>
    <row r="30" customFormat="false" ht="15" hidden="false" customHeight="true" outlineLevel="0" collapsed="false">
      <c r="A30" s="23"/>
      <c r="B30" s="23"/>
      <c r="C30" s="23"/>
      <c r="D30" s="23"/>
      <c r="E30" s="24"/>
      <c r="F30" s="23"/>
      <c r="G30" s="24"/>
      <c r="H30" s="24"/>
      <c r="I30" s="23"/>
      <c r="J30" s="24"/>
      <c r="K30" s="24"/>
      <c r="L30" s="24"/>
      <c r="M30" s="24"/>
      <c r="N30" s="24"/>
      <c r="O30" s="24"/>
    </row>
    <row r="31" customFormat="false" ht="15" hidden="false" customHeight="true" outlineLevel="0" collapsed="false">
      <c r="A31" s="23"/>
      <c r="B31" s="23"/>
      <c r="C31" s="23"/>
      <c r="D31" s="23"/>
      <c r="E31" s="24"/>
      <c r="F31" s="23"/>
      <c r="G31" s="24"/>
      <c r="H31" s="24"/>
      <c r="I31" s="23"/>
      <c r="J31" s="24"/>
      <c r="K31" s="24"/>
      <c r="L31" s="24"/>
      <c r="M31" s="24"/>
      <c r="N31" s="24"/>
      <c r="O31" s="24"/>
    </row>
    <row r="32" customFormat="false" ht="15" hidden="false" customHeight="true" outlineLevel="0" collapsed="false">
      <c r="A32" s="23"/>
      <c r="B32" s="23"/>
      <c r="C32" s="23"/>
      <c r="D32" s="23"/>
      <c r="E32" s="24"/>
      <c r="F32" s="23"/>
      <c r="G32" s="24"/>
      <c r="H32" s="24"/>
      <c r="I32" s="23"/>
      <c r="J32" s="24"/>
      <c r="K32" s="24"/>
      <c r="L32" s="24"/>
      <c r="M32" s="24"/>
      <c r="N32" s="24"/>
      <c r="O32" s="24"/>
    </row>
    <row r="33" customFormat="false" ht="15" hidden="false" customHeight="true" outlineLevel="0" collapsed="false">
      <c r="A33" s="23"/>
      <c r="B33" s="23"/>
      <c r="C33" s="23"/>
      <c r="D33" s="23"/>
      <c r="E33" s="24"/>
      <c r="F33" s="23"/>
      <c r="G33" s="24"/>
      <c r="H33" s="24"/>
      <c r="I33" s="23"/>
      <c r="J33" s="24"/>
      <c r="K33" s="24"/>
      <c r="L33" s="24"/>
      <c r="M33" s="24"/>
      <c r="N33" s="24"/>
      <c r="O33" s="24"/>
    </row>
    <row r="34" customFormat="false" ht="15" hidden="false" customHeight="true" outlineLevel="0" collapsed="false">
      <c r="A34" s="23"/>
      <c r="B34" s="23"/>
      <c r="C34" s="23"/>
      <c r="D34" s="23"/>
      <c r="E34" s="24"/>
      <c r="F34" s="23"/>
      <c r="G34" s="24"/>
      <c r="H34" s="24"/>
      <c r="I34" s="23"/>
      <c r="J34" s="24"/>
      <c r="K34" s="24"/>
      <c r="L34" s="24"/>
      <c r="M34" s="24"/>
      <c r="N34" s="24"/>
      <c r="O34" s="24"/>
    </row>
    <row r="35" customFormat="false" ht="15" hidden="false" customHeight="true" outlineLevel="0" collapsed="false">
      <c r="A35" s="23"/>
      <c r="B35" s="23"/>
      <c r="C35" s="23"/>
      <c r="D35" s="23"/>
      <c r="E35" s="24"/>
      <c r="F35" s="23"/>
      <c r="G35" s="24"/>
      <c r="H35" s="24"/>
      <c r="I35" s="23"/>
      <c r="J35" s="24"/>
      <c r="K35" s="24"/>
      <c r="L35" s="24"/>
      <c r="M35" s="24"/>
      <c r="N35" s="24"/>
      <c r="O35" s="24"/>
    </row>
    <row r="36" customFormat="false" ht="15" hidden="false" customHeight="true" outlineLevel="0" collapsed="false">
      <c r="A36" s="23"/>
      <c r="B36" s="23"/>
      <c r="C36" s="23"/>
      <c r="D36" s="23"/>
      <c r="E36" s="24"/>
      <c r="F36" s="23"/>
      <c r="G36" s="24"/>
      <c r="H36" s="24"/>
      <c r="I36" s="23"/>
      <c r="J36" s="24"/>
      <c r="K36" s="24"/>
      <c r="L36" s="24"/>
      <c r="M36" s="24"/>
      <c r="N36" s="24"/>
      <c r="O36" s="24"/>
    </row>
    <row r="37" customFormat="false" ht="15" hidden="false" customHeight="true" outlineLevel="0" collapsed="false">
      <c r="A37" s="23"/>
      <c r="B37" s="23"/>
      <c r="C37" s="23"/>
      <c r="D37" s="23"/>
      <c r="E37" s="24"/>
      <c r="F37" s="23"/>
      <c r="G37" s="24"/>
      <c r="H37" s="24"/>
      <c r="I37" s="23"/>
      <c r="J37" s="24"/>
      <c r="K37" s="24"/>
      <c r="L37" s="24"/>
      <c r="M37" s="24"/>
      <c r="N37" s="24"/>
      <c r="O37" s="24"/>
    </row>
  </sheetData>
  <mergeCells count="3">
    <mergeCell ref="A1:F1"/>
    <mergeCell ref="G1:K1"/>
    <mergeCell ref="L1:P1"/>
  </mergeCells>
  <dataValidations count="7">
    <dataValidation allowBlank="true" errorStyle="stop" operator="between" showDropDown="false" showErrorMessage="false" showInputMessage="false" sqref="B4:B37" type="list">
      <formula1>"Castelo,Hotzone,Área Turística,Orla,Cena,Grupo,Alta energia"</formula1>
      <formula2>0</formula2>
    </dataValidation>
    <dataValidation allowBlank="true" errorStyle="stop" operator="between" showDropDown="false" showErrorMessage="false" showInputMessage="false" sqref="D4:D37" type="list">
      <formula1>"Volume,Imagem,Ritual,Conversão,Âncora,Laboratório"</formula1>
      <formula2>0</formula2>
    </dataValidation>
    <dataValidation allowBlank="true" errorStyle="stop" operator="between" showDropDown="false" showErrorMessage="false" showInputMessage="false" sqref="E4:E37" type="list">
      <formula1>"Bruno,Jerry,Iasmin,Julia,Community,Marketing"</formula1>
      <formula2>0</formula2>
    </dataValidation>
    <dataValidation allowBlank="true" errorStyle="stop" operator="between" showDropDown="false" showErrorMessage="false" showInputMessage="false" sqref="F4:F37" type="list">
      <formula1>"CONFIRMADO,ALINHADO,EM NEGOCIAÇÃO,EM AVALIAÇÃO,HIPÓTESE,PENDENTE DE DADOS"</formula1>
      <formula2>0</formula2>
    </dataValidation>
    <dataValidation allowBlank="true" errorStyle="stop" operator="between" showDropDown="false" showErrorMessage="false" showInputMessage="false" sqref="I4:I37" type="list">
      <formula1>"Sim,Não,Em negociação"</formula1>
      <formula2>0</formula2>
    </dataValidation>
    <dataValidation allowBlank="true" errorStyle="stop" operator="between" showDropDown="false" showErrorMessage="false" showInputMessage="false" sqref="L4:L37" type="list">
      <formula1>"Prospecção,Negociação,Implantação,Fortificação,Recompra,Review"</formula1>
      <formula2>0</formula2>
    </dataValidation>
    <dataValidation allowBlank="true" errorStyle="stop" operator="between" showDropDown="false" showErrorMessage="false" showInputMessage="false" sqref="O4:O37" type="list">
      <formula1>"Manter,Corrigir,Escalar,Renegociar,Parar"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1"/>
    <col collapsed="false" customWidth="true" hidden="false" outlineLevel="0" max="3" min="3" style="1" width="16"/>
    <col collapsed="false" customWidth="true" hidden="false" outlineLevel="0" max="4" min="4" style="1" width="15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26"/>
    <col collapsed="false" customWidth="true" hidden="false" outlineLevel="0" max="9" min="9" style="1" width="13"/>
    <col collapsed="false" customWidth="true" hidden="false" outlineLevel="0" max="10" min="10" style="1" width="15"/>
    <col collapsed="false" customWidth="true" hidden="false" outlineLevel="0" max="11" min="11" style="1" width="14"/>
    <col collapsed="false" customWidth="true" hidden="false" outlineLevel="0" max="12" min="12" style="1" width="13"/>
    <col collapsed="false" customWidth="true" hidden="false" outlineLevel="0" max="13" min="13" style="1" width="26"/>
  </cols>
  <sheetData>
    <row r="1" customFormat="false" ht="19.5" hidden="false" customHeight="true" outlineLevel="0" collapsed="false">
      <c r="A1" s="14" t="s">
        <v>123</v>
      </c>
      <c r="B1" s="14"/>
      <c r="C1" s="14"/>
      <c r="D1" s="14"/>
      <c r="E1" s="14"/>
      <c r="F1" s="14"/>
      <c r="G1" s="14" t="s">
        <v>124</v>
      </c>
      <c r="H1" s="14"/>
      <c r="I1" s="14"/>
      <c r="J1" s="14"/>
      <c r="K1" s="14"/>
      <c r="L1" s="14" t="s">
        <v>125</v>
      </c>
      <c r="M1" s="14"/>
    </row>
    <row r="2" customFormat="false" ht="33.75" hidden="false" customHeight="true" outlineLevel="0" collapsed="false">
      <c r="A2" s="15" t="s">
        <v>48</v>
      </c>
      <c r="B2" s="15" t="s">
        <v>52</v>
      </c>
      <c r="C2" s="15" t="s">
        <v>53</v>
      </c>
      <c r="D2" s="15" t="s">
        <v>126</v>
      </c>
      <c r="E2" s="15" t="s">
        <v>127</v>
      </c>
      <c r="F2" s="15" t="s">
        <v>128</v>
      </c>
      <c r="G2" s="15" t="s">
        <v>129</v>
      </c>
      <c r="H2" s="15" t="s">
        <v>130</v>
      </c>
      <c r="I2" s="15" t="s">
        <v>131</v>
      </c>
      <c r="J2" s="15" t="s">
        <v>132</v>
      </c>
      <c r="K2" s="15" t="s">
        <v>133</v>
      </c>
      <c r="L2" s="15" t="s">
        <v>62</v>
      </c>
      <c r="M2" s="15" t="s">
        <v>134</v>
      </c>
    </row>
    <row r="3" customFormat="false" ht="15" hidden="false" customHeight="true" outlineLevel="0" collapsed="false">
      <c r="A3" s="16" t="s">
        <v>63</v>
      </c>
      <c r="B3" s="16" t="s">
        <v>77</v>
      </c>
      <c r="C3" s="16" t="s">
        <v>11</v>
      </c>
      <c r="D3" s="18" t="s">
        <v>135</v>
      </c>
      <c r="E3" s="18" t="s">
        <v>136</v>
      </c>
      <c r="F3" s="17" t="n">
        <v>24000</v>
      </c>
      <c r="G3" s="16" t="n">
        <v>1500</v>
      </c>
      <c r="H3" s="16" t="s">
        <v>137</v>
      </c>
      <c r="I3" s="16" t="s">
        <v>138</v>
      </c>
      <c r="J3" s="16" t="s">
        <v>139</v>
      </c>
      <c r="K3" s="18" t="s">
        <v>140</v>
      </c>
      <c r="L3" s="16" t="s">
        <v>141</v>
      </c>
      <c r="M3" s="16" t="s">
        <v>142</v>
      </c>
    </row>
    <row r="4" customFormat="false" ht="25.5" hidden="false" customHeight="true" outlineLevel="0" collapsed="false">
      <c r="A4" s="13" t="s">
        <v>73</v>
      </c>
      <c r="B4" s="13" t="s">
        <v>77</v>
      </c>
      <c r="C4" s="13" t="s">
        <v>11</v>
      </c>
      <c r="D4" s="22"/>
      <c r="E4" s="22"/>
      <c r="F4" s="20"/>
      <c r="G4" s="19"/>
      <c r="H4" s="21"/>
      <c r="I4" s="19"/>
      <c r="J4" s="19"/>
      <c r="K4" s="22"/>
      <c r="L4" s="19"/>
      <c r="M4" s="21"/>
    </row>
    <row r="5" customFormat="false" ht="25.5" hidden="false" customHeight="true" outlineLevel="0" collapsed="false">
      <c r="A5" s="13" t="s">
        <v>79</v>
      </c>
      <c r="B5" s="19"/>
      <c r="C5" s="13" t="s">
        <v>13</v>
      </c>
      <c r="D5" s="22"/>
      <c r="E5" s="22"/>
      <c r="F5" s="20"/>
      <c r="G5" s="19"/>
      <c r="H5" s="21"/>
      <c r="I5" s="19"/>
      <c r="J5" s="19"/>
      <c r="K5" s="22"/>
      <c r="L5" s="19"/>
      <c r="M5" s="21"/>
    </row>
    <row r="6" customFormat="false" ht="25.5" hidden="false" customHeight="true" outlineLevel="0" collapsed="false">
      <c r="A6" s="13" t="s">
        <v>82</v>
      </c>
      <c r="B6" s="19"/>
      <c r="C6" s="13" t="s">
        <v>13</v>
      </c>
      <c r="D6" s="22"/>
      <c r="E6" s="22"/>
      <c r="F6" s="20"/>
      <c r="G6" s="19"/>
      <c r="H6" s="21"/>
      <c r="I6" s="19"/>
      <c r="J6" s="19"/>
      <c r="K6" s="22"/>
      <c r="L6" s="19"/>
      <c r="M6" s="21"/>
    </row>
    <row r="7" customFormat="false" ht="25.5" hidden="false" customHeight="true" outlineLevel="0" collapsed="false">
      <c r="A7" s="13" t="s">
        <v>106</v>
      </c>
      <c r="B7" s="19"/>
      <c r="C7" s="13" t="s">
        <v>15</v>
      </c>
      <c r="D7" s="22"/>
      <c r="E7" s="22"/>
      <c r="F7" s="20"/>
      <c r="G7" s="19"/>
      <c r="H7" s="21"/>
      <c r="I7" s="19"/>
      <c r="J7" s="19"/>
      <c r="K7" s="22"/>
      <c r="L7" s="19"/>
      <c r="M7" s="21"/>
    </row>
    <row r="8" customFormat="false" ht="15" hidden="false" customHeight="true" outlineLevel="0" collapsed="false">
      <c r="A8" s="23"/>
      <c r="B8" s="24"/>
      <c r="C8" s="23"/>
      <c r="D8" s="24"/>
      <c r="E8" s="24"/>
      <c r="F8" s="24"/>
      <c r="G8" s="24"/>
      <c r="H8" s="24"/>
      <c r="I8" s="24"/>
      <c r="J8" s="24"/>
      <c r="K8" s="24"/>
      <c r="L8" s="24"/>
      <c r="M8" s="24"/>
    </row>
    <row r="9" customFormat="false" ht="15" hidden="false" customHeight="true" outlineLevel="0" collapsed="false">
      <c r="A9" s="23"/>
      <c r="B9" s="24"/>
      <c r="C9" s="23"/>
      <c r="D9" s="24"/>
      <c r="E9" s="24"/>
      <c r="F9" s="24"/>
      <c r="G9" s="24"/>
      <c r="H9" s="24"/>
      <c r="I9" s="24"/>
      <c r="J9" s="24"/>
      <c r="K9" s="24"/>
      <c r="L9" s="24"/>
      <c r="M9" s="24"/>
    </row>
    <row r="10" customFormat="false" ht="15" hidden="false" customHeight="true" outlineLevel="0" collapsed="false">
      <c r="A10" s="23"/>
      <c r="B10" s="24"/>
      <c r="C10" s="23"/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 customFormat="false" ht="15" hidden="false" customHeight="true" outlineLevel="0" collapsed="false">
      <c r="A11" s="23"/>
      <c r="B11" s="24"/>
      <c r="C11" s="23"/>
      <c r="D11" s="24"/>
      <c r="E11" s="24"/>
      <c r="F11" s="24"/>
      <c r="G11" s="24"/>
      <c r="H11" s="24"/>
      <c r="I11" s="24"/>
      <c r="J11" s="24"/>
      <c r="K11" s="24"/>
      <c r="L11" s="24"/>
      <c r="M11" s="24"/>
    </row>
    <row r="12" customFormat="false" ht="15" hidden="false" customHeight="true" outlineLevel="0" collapsed="false">
      <c r="A12" s="23"/>
      <c r="B12" s="24"/>
      <c r="C12" s="23"/>
      <c r="D12" s="24"/>
      <c r="E12" s="24"/>
      <c r="F12" s="24"/>
      <c r="G12" s="24"/>
      <c r="H12" s="24"/>
      <c r="I12" s="24"/>
      <c r="J12" s="24"/>
      <c r="K12" s="24"/>
      <c r="L12" s="24"/>
      <c r="M12" s="24"/>
    </row>
    <row r="13" customFormat="false" ht="15" hidden="false" customHeight="true" outlineLevel="0" collapsed="false">
      <c r="A13" s="23"/>
      <c r="B13" s="24"/>
      <c r="C13" s="23"/>
      <c r="D13" s="24"/>
      <c r="E13" s="24"/>
      <c r="F13" s="24"/>
      <c r="G13" s="24"/>
      <c r="H13" s="24"/>
      <c r="I13" s="24"/>
      <c r="J13" s="24"/>
      <c r="K13" s="24"/>
      <c r="L13" s="24"/>
      <c r="M13" s="24"/>
    </row>
    <row r="14" customFormat="false" ht="15" hidden="false" customHeight="true" outlineLevel="0" collapsed="false">
      <c r="A14" s="23"/>
      <c r="B14" s="24"/>
      <c r="C14" s="23"/>
      <c r="D14" s="24"/>
      <c r="E14" s="24"/>
      <c r="F14" s="24"/>
      <c r="G14" s="24"/>
      <c r="H14" s="24"/>
      <c r="I14" s="24"/>
      <c r="J14" s="24"/>
      <c r="K14" s="24"/>
      <c r="L14" s="24"/>
      <c r="M14" s="24"/>
    </row>
    <row r="15" customFormat="false" ht="15" hidden="false" customHeight="true" outlineLevel="0" collapsed="false">
      <c r="A15" s="23"/>
      <c r="B15" s="24"/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</row>
  </sheetData>
  <mergeCells count="3">
    <mergeCell ref="A1:F1"/>
    <mergeCell ref="G1:K1"/>
    <mergeCell ref="L1:M1"/>
  </mergeCells>
  <dataValidations count="5">
    <dataValidation allowBlank="true" errorStyle="stop" operator="between" showDropDown="false" showErrorMessage="false" showInputMessage="false" sqref="B4:B15" type="list">
      <formula1>"Bruno,Jerry,Iasmin,Julia,Community,Marketing"</formula1>
      <formula2>0</formula2>
    </dataValidation>
    <dataValidation allowBlank="true" errorStyle="stop" operator="between" showDropDown="false" showErrorMessage="false" showInputMessage="false" sqref="C4:C15" type="list">
      <formula1>"CONFIRMADO,ALINHADO,EM NEGOCIAÇÃO,EM AVALIAÇÃO,HIPÓTESE,PENDENTE DE DADOS"</formula1>
      <formula2>0</formula2>
    </dataValidation>
    <dataValidation allowBlank="true" errorStyle="stop" operator="between" showDropDown="false" showErrorMessage="false" showInputMessage="false" sqref="I4:I15" type="list">
      <formula1>"Sim,Parcial,Não"</formula1>
      <formula2>0</formula2>
    </dataValidation>
    <dataValidation allowBlank="true" errorStyle="stop" operator="between" showDropDown="false" showErrorMessage="false" showInputMessage="false" sqref="J4:J15" type="list">
      <formula1>"Sim,Não,Pendente"</formula1>
      <formula2>0</formula2>
    </dataValidation>
    <dataValidation allowBlank="true" errorStyle="stop" operator="between" showDropDown="false" showErrorMessage="false" showInputMessage="false" sqref="L4:L15" type="list">
      <formula1>"Manter,Renegociar,Escalar,Parar"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3"/>
    <col collapsed="false" customWidth="true" hidden="false" outlineLevel="0" max="4" min="3" style="1" width="11"/>
    <col collapsed="false" customWidth="true" hidden="false" outlineLevel="0" max="5" min="5" style="1" width="16"/>
    <col collapsed="false" customWidth="true" hidden="false" outlineLevel="0" max="8" min="6" style="1" width="17"/>
    <col collapsed="false" customWidth="true" hidden="false" outlineLevel="0" max="9" min="9" style="1" width="14"/>
    <col collapsed="false" customWidth="true" hidden="false" outlineLevel="0" max="11" min="10" style="1" width="13"/>
    <col collapsed="false" customWidth="true" hidden="false" outlineLevel="0" max="13" min="12" style="1" width="28"/>
  </cols>
  <sheetData>
    <row r="1" customFormat="false" ht="19.5" hidden="false" customHeight="true" outlineLevel="0" collapsed="false">
      <c r="A1" s="14" t="s">
        <v>143</v>
      </c>
      <c r="B1" s="14"/>
      <c r="C1" s="14"/>
      <c r="D1" s="14"/>
      <c r="E1" s="14"/>
      <c r="F1" s="14" t="s">
        <v>144</v>
      </c>
      <c r="G1" s="14"/>
      <c r="H1" s="14"/>
      <c r="I1" s="14" t="s">
        <v>145</v>
      </c>
      <c r="J1" s="14"/>
      <c r="K1" s="14"/>
      <c r="L1" s="14"/>
      <c r="M1" s="25"/>
    </row>
    <row r="2" customFormat="false" ht="33.75" hidden="false" customHeight="true" outlineLevel="0" collapsed="false">
      <c r="A2" s="15" t="s">
        <v>146</v>
      </c>
      <c r="B2" s="15" t="s">
        <v>147</v>
      </c>
      <c r="C2" s="15" t="s">
        <v>52</v>
      </c>
      <c r="D2" s="15" t="s">
        <v>148</v>
      </c>
      <c r="E2" s="15" t="s">
        <v>53</v>
      </c>
      <c r="F2" s="15" t="s">
        <v>149</v>
      </c>
      <c r="G2" s="15" t="s">
        <v>150</v>
      </c>
      <c r="H2" s="15" t="s">
        <v>151</v>
      </c>
      <c r="I2" s="15" t="s">
        <v>152</v>
      </c>
      <c r="J2" s="15" t="s">
        <v>153</v>
      </c>
      <c r="K2" s="15" t="s">
        <v>154</v>
      </c>
      <c r="L2" s="15" t="s">
        <v>155</v>
      </c>
      <c r="M2" s="15" t="s">
        <v>60</v>
      </c>
    </row>
    <row r="3" customFormat="false" ht="15" hidden="false" customHeight="true" outlineLevel="0" collapsed="false">
      <c r="A3" s="16" t="s">
        <v>156</v>
      </c>
      <c r="B3" s="16" t="s">
        <v>157</v>
      </c>
      <c r="C3" s="16" t="s">
        <v>158</v>
      </c>
      <c r="D3" s="16" t="s">
        <v>159</v>
      </c>
      <c r="E3" s="16" t="s">
        <v>13</v>
      </c>
      <c r="F3" s="16" t="s">
        <v>160</v>
      </c>
      <c r="G3" s="16" t="s">
        <v>161</v>
      </c>
      <c r="H3" s="16" t="s">
        <v>162</v>
      </c>
      <c r="I3" s="16" t="s">
        <v>163</v>
      </c>
      <c r="J3" s="17" t="n">
        <v>15000</v>
      </c>
      <c r="K3" s="16" t="s">
        <v>164</v>
      </c>
      <c r="L3" s="16" t="s">
        <v>165</v>
      </c>
      <c r="M3" s="16" t="s">
        <v>166</v>
      </c>
    </row>
    <row r="4" customFormat="false" ht="25.5" hidden="false" customHeight="true" outlineLevel="0" collapsed="false">
      <c r="A4" s="12" t="s">
        <v>167</v>
      </c>
      <c r="B4" s="13" t="s">
        <v>168</v>
      </c>
      <c r="C4" s="13" t="s">
        <v>158</v>
      </c>
      <c r="D4" s="13" t="s">
        <v>159</v>
      </c>
      <c r="E4" s="13" t="s">
        <v>11</v>
      </c>
      <c r="F4" s="19"/>
      <c r="G4" s="19"/>
      <c r="H4" s="19"/>
      <c r="I4" s="13" t="s">
        <v>163</v>
      </c>
      <c r="J4" s="20"/>
      <c r="K4" s="19"/>
      <c r="L4" s="12" t="s">
        <v>169</v>
      </c>
      <c r="M4" s="21"/>
    </row>
    <row r="5" customFormat="false" ht="25.5" hidden="false" customHeight="true" outlineLevel="0" collapsed="false">
      <c r="A5" s="12" t="s">
        <v>170</v>
      </c>
      <c r="B5" s="13" t="s">
        <v>157</v>
      </c>
      <c r="C5" s="19"/>
      <c r="D5" s="13" t="s">
        <v>159</v>
      </c>
      <c r="E5" s="13" t="s">
        <v>11</v>
      </c>
      <c r="F5" s="19"/>
      <c r="G5" s="19"/>
      <c r="H5" s="19"/>
      <c r="I5" s="19"/>
      <c r="J5" s="20"/>
      <c r="K5" s="13" t="s">
        <v>171</v>
      </c>
      <c r="L5" s="12" t="s">
        <v>172</v>
      </c>
      <c r="M5" s="12" t="s">
        <v>173</v>
      </c>
    </row>
    <row r="6" customFormat="false" ht="25.5" hidden="false" customHeight="true" outlineLevel="0" collapsed="false">
      <c r="A6" s="12" t="s">
        <v>174</v>
      </c>
      <c r="B6" s="13" t="s">
        <v>175</v>
      </c>
      <c r="C6" s="19"/>
      <c r="D6" s="13" t="s">
        <v>176</v>
      </c>
      <c r="E6" s="13" t="s">
        <v>13</v>
      </c>
      <c r="F6" s="19"/>
      <c r="G6" s="19"/>
      <c r="H6" s="19"/>
      <c r="I6" s="19"/>
      <c r="J6" s="20"/>
      <c r="K6" s="19"/>
      <c r="L6" s="12" t="s">
        <v>177</v>
      </c>
      <c r="M6" s="12" t="s">
        <v>178</v>
      </c>
    </row>
    <row r="7" customFormat="false" ht="25.5" hidden="false" customHeight="true" outlineLevel="0" collapsed="false">
      <c r="A7" s="12" t="s">
        <v>179</v>
      </c>
      <c r="B7" s="13" t="s">
        <v>180</v>
      </c>
      <c r="C7" s="19"/>
      <c r="D7" s="13" t="s">
        <v>176</v>
      </c>
      <c r="E7" s="13" t="s">
        <v>13</v>
      </c>
      <c r="F7" s="19"/>
      <c r="G7" s="19"/>
      <c r="H7" s="19"/>
      <c r="I7" s="19"/>
      <c r="J7" s="20"/>
      <c r="K7" s="13" t="s">
        <v>181</v>
      </c>
      <c r="L7" s="12" t="s">
        <v>182</v>
      </c>
      <c r="M7" s="12" t="s">
        <v>183</v>
      </c>
    </row>
    <row r="8" customFormat="false" ht="25.5" hidden="false" customHeight="true" outlineLevel="0" collapsed="false">
      <c r="A8" s="12" t="s">
        <v>184</v>
      </c>
      <c r="B8" s="13" t="s">
        <v>180</v>
      </c>
      <c r="C8" s="19"/>
      <c r="D8" s="13" t="s">
        <v>176</v>
      </c>
      <c r="E8" s="13" t="s">
        <v>17</v>
      </c>
      <c r="F8" s="19"/>
      <c r="G8" s="19"/>
      <c r="H8" s="19"/>
      <c r="I8" s="19"/>
      <c r="J8" s="20"/>
      <c r="K8" s="13" t="s">
        <v>181</v>
      </c>
      <c r="L8" s="12" t="s">
        <v>185</v>
      </c>
      <c r="M8" s="12" t="s">
        <v>186</v>
      </c>
    </row>
    <row r="9" customFormat="false" ht="25.5" hidden="false" customHeight="true" outlineLevel="0" collapsed="false">
      <c r="A9" s="12" t="s">
        <v>187</v>
      </c>
      <c r="B9" s="13" t="s">
        <v>175</v>
      </c>
      <c r="C9" s="13" t="s">
        <v>188</v>
      </c>
      <c r="D9" s="13" t="s">
        <v>176</v>
      </c>
      <c r="E9" s="13" t="s">
        <v>13</v>
      </c>
      <c r="F9" s="19"/>
      <c r="G9" s="19"/>
      <c r="H9" s="19"/>
      <c r="I9" s="19"/>
      <c r="J9" s="20"/>
      <c r="K9" s="19"/>
      <c r="L9" s="12" t="s">
        <v>189</v>
      </c>
      <c r="M9" s="12" t="s">
        <v>190</v>
      </c>
    </row>
    <row r="10" customFormat="false" ht="25.5" hidden="false" customHeight="true" outlineLevel="0" collapsed="false">
      <c r="A10" s="12" t="s">
        <v>191</v>
      </c>
      <c r="B10" s="13" t="s">
        <v>180</v>
      </c>
      <c r="C10" s="13" t="s">
        <v>159</v>
      </c>
      <c r="D10" s="13" t="s">
        <v>159</v>
      </c>
      <c r="E10" s="13" t="s">
        <v>11</v>
      </c>
      <c r="F10" s="19"/>
      <c r="G10" s="19"/>
      <c r="H10" s="19"/>
      <c r="I10" s="13" t="s">
        <v>192</v>
      </c>
      <c r="J10" s="20"/>
      <c r="K10" s="13" t="s">
        <v>193</v>
      </c>
      <c r="L10" s="12" t="s">
        <v>194</v>
      </c>
      <c r="M10" s="12" t="s">
        <v>195</v>
      </c>
    </row>
    <row r="11" customFormat="false" ht="15" hidden="false" customHeight="true" outlineLevel="0" collapsed="false">
      <c r="A11" s="23"/>
      <c r="B11" s="23"/>
      <c r="C11" s="24"/>
      <c r="D11" s="23"/>
      <c r="E11" s="23"/>
      <c r="F11" s="24"/>
      <c r="G11" s="24"/>
      <c r="H11" s="24"/>
      <c r="I11" s="24"/>
      <c r="J11" s="24"/>
      <c r="K11" s="24"/>
      <c r="L11" s="23"/>
      <c r="M11" s="24"/>
    </row>
    <row r="12" customFormat="false" ht="15" hidden="false" customHeight="true" outlineLevel="0" collapsed="false">
      <c r="A12" s="23"/>
      <c r="B12" s="23"/>
      <c r="C12" s="24"/>
      <c r="D12" s="23"/>
      <c r="E12" s="23"/>
      <c r="F12" s="24"/>
      <c r="G12" s="24"/>
      <c r="H12" s="24"/>
      <c r="I12" s="24"/>
      <c r="J12" s="24"/>
      <c r="K12" s="24"/>
      <c r="L12" s="23"/>
      <c r="M12" s="24"/>
    </row>
    <row r="13" customFormat="false" ht="15" hidden="false" customHeight="true" outlineLevel="0" collapsed="false">
      <c r="A13" s="23"/>
      <c r="B13" s="23"/>
      <c r="C13" s="24"/>
      <c r="D13" s="23"/>
      <c r="E13" s="23"/>
      <c r="F13" s="24"/>
      <c r="G13" s="24"/>
      <c r="H13" s="24"/>
      <c r="I13" s="24"/>
      <c r="J13" s="24"/>
      <c r="K13" s="24"/>
      <c r="L13" s="23"/>
      <c r="M13" s="24"/>
    </row>
    <row r="14" customFormat="false" ht="15" hidden="false" customHeight="true" outlineLevel="0" collapsed="false">
      <c r="A14" s="23"/>
      <c r="B14" s="23"/>
      <c r="C14" s="24"/>
      <c r="D14" s="23"/>
      <c r="E14" s="23"/>
      <c r="F14" s="24"/>
      <c r="G14" s="24"/>
      <c r="H14" s="24"/>
      <c r="I14" s="24"/>
      <c r="J14" s="24"/>
      <c r="K14" s="24"/>
      <c r="L14" s="23"/>
      <c r="M14" s="24"/>
    </row>
    <row r="15" customFormat="false" ht="15" hidden="false" customHeight="true" outlineLevel="0" collapsed="false">
      <c r="A15" s="23"/>
      <c r="B15" s="23"/>
      <c r="C15" s="24"/>
      <c r="D15" s="23"/>
      <c r="E15" s="23"/>
      <c r="F15" s="24"/>
      <c r="G15" s="24"/>
      <c r="H15" s="24"/>
      <c r="I15" s="24"/>
      <c r="J15" s="24"/>
      <c r="K15" s="24"/>
      <c r="L15" s="23"/>
      <c r="M15" s="24"/>
    </row>
    <row r="16" customFormat="false" ht="15" hidden="false" customHeight="true" outlineLevel="0" collapsed="false">
      <c r="A16" s="23"/>
      <c r="B16" s="23"/>
      <c r="C16" s="24"/>
      <c r="D16" s="23"/>
      <c r="E16" s="23"/>
      <c r="F16" s="24"/>
      <c r="G16" s="24"/>
      <c r="H16" s="24"/>
      <c r="I16" s="24"/>
      <c r="J16" s="24"/>
      <c r="K16" s="24"/>
      <c r="L16" s="23"/>
      <c r="M16" s="24"/>
    </row>
    <row r="17" customFormat="false" ht="15" hidden="false" customHeight="true" outlineLevel="0" collapsed="false">
      <c r="A17" s="23"/>
      <c r="B17" s="23"/>
      <c r="C17" s="24"/>
      <c r="D17" s="23"/>
      <c r="E17" s="23"/>
      <c r="F17" s="24"/>
      <c r="G17" s="24"/>
      <c r="H17" s="24"/>
      <c r="I17" s="24"/>
      <c r="J17" s="24"/>
      <c r="K17" s="24"/>
      <c r="L17" s="23"/>
      <c r="M17" s="24"/>
    </row>
    <row r="18" customFormat="false" ht="15" hidden="false" customHeight="true" outlineLevel="0" collapsed="false">
      <c r="A18" s="23"/>
      <c r="B18" s="23"/>
      <c r="C18" s="24"/>
      <c r="D18" s="23"/>
      <c r="E18" s="23"/>
      <c r="F18" s="24"/>
      <c r="G18" s="24"/>
      <c r="H18" s="24"/>
      <c r="I18" s="24"/>
      <c r="J18" s="24"/>
      <c r="K18" s="24"/>
      <c r="L18" s="23"/>
      <c r="M18" s="24"/>
    </row>
  </sheetData>
  <mergeCells count="3">
    <mergeCell ref="A1:E1"/>
    <mergeCell ref="F1:H1"/>
    <mergeCell ref="I1:L1"/>
  </mergeCells>
  <dataValidations count="7">
    <dataValidation allowBlank="true" errorStyle="stop" operator="between" showDropDown="false" showErrorMessage="false" showInputMessage="false" sqref="B4:B18" type="list">
      <formula1>"Tailor Made,Evento,Ativação,Lançamento,Plataforma"</formula1>
      <formula2>0</formula2>
    </dataValidation>
    <dataValidation allowBlank="true" errorStyle="stop" operator="between" showDropDown="false" showErrorMessage="false" showInputMessage="false" sqref="C4:C18" type="list">
      <formula1>"Bruno,Jerry,Iasmin,Julia,Community,Marketing"</formula1>
      <formula2>0</formula2>
    </dataValidation>
    <dataValidation allowBlank="true" errorStyle="stop" operator="between" showDropDown="false" showErrorMessage="false" showInputMessage="false" sqref="D4:D18" type="list">
      <formula1>"Bruno,Jerry,Iasmin,Julia,Community,Marketing"</formula1>
      <formula2>0</formula2>
    </dataValidation>
    <dataValidation allowBlank="true" errorStyle="stop" operator="between" showDropDown="false" showErrorMessage="false" showInputMessage="false" sqref="E4:E18" type="list">
      <formula1>"CONFIRMADO,ALINHADO,EM NEGOCIAÇÃO,EM AVALIAÇÃO,HIPÓTESE,PENDENTE DE DADOS"</formula1>
      <formula2>0</formula2>
    </dataValidation>
    <dataValidation allowBlank="true" errorStyle="stop" operator="between" showDropDown="false" showErrorMessage="false" showInputMessage="false" sqref="F4:F18" type="list">
      <formula1>"Aberto,Em curso,OK,N/A"</formula1>
      <formula2>0</formula2>
    </dataValidation>
    <dataValidation allowBlank="true" errorStyle="stop" operator="between" showDropDown="false" showErrorMessage="false" showInputMessage="false" sqref="G4:G18" type="list">
      <formula1>"Aberto,Em curso,OK,N/A"</formula1>
      <formula2>0</formula2>
    </dataValidation>
    <dataValidation allowBlank="true" errorStyle="stop" operator="between" showDropDown="false" showErrorMessage="false" showInputMessage="false" sqref="H4:H18" type="list">
      <formula1>"Aberto,Em curso,OK,N/A"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3"/>
    <col collapsed="false" customWidth="true" hidden="false" outlineLevel="0" max="3" min="3" style="1" width="15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7" min="6" style="1" width="13"/>
    <col collapsed="false" customWidth="true" hidden="false" outlineLevel="0" max="8" min="8" style="1" width="15"/>
    <col collapsed="false" customWidth="true" hidden="false" outlineLevel="0" max="9" min="9" style="1" width="13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2" min="12" style="1" width="20"/>
    <col collapsed="false" customWidth="true" hidden="false" outlineLevel="0" max="13" min="13" style="1" width="26"/>
  </cols>
  <sheetData>
    <row r="1" customFormat="false" ht="19.5" hidden="false" customHeight="true" outlineLevel="0" collapsed="false">
      <c r="A1" s="14" t="s">
        <v>196</v>
      </c>
      <c r="B1" s="14"/>
      <c r="C1" s="14" t="s">
        <v>197</v>
      </c>
      <c r="D1" s="14"/>
      <c r="E1" s="14"/>
      <c r="F1" s="14"/>
      <c r="G1" s="14"/>
      <c r="H1" s="14"/>
      <c r="I1" s="14"/>
      <c r="J1" s="14"/>
      <c r="K1" s="14" t="s">
        <v>198</v>
      </c>
      <c r="L1" s="14"/>
      <c r="M1" s="14"/>
    </row>
    <row r="2" customFormat="false" ht="33.75" hidden="false" customHeight="true" outlineLevel="0" collapsed="false">
      <c r="A2" s="15" t="s">
        <v>48</v>
      </c>
      <c r="B2" s="15" t="s">
        <v>52</v>
      </c>
      <c r="C2" s="15" t="s">
        <v>199</v>
      </c>
      <c r="D2" s="15" t="s">
        <v>200</v>
      </c>
      <c r="E2" s="15" t="s">
        <v>201</v>
      </c>
      <c r="F2" s="15" t="s">
        <v>202</v>
      </c>
      <c r="G2" s="15" t="s">
        <v>203</v>
      </c>
      <c r="H2" s="15" t="s">
        <v>204</v>
      </c>
      <c r="I2" s="15" t="s">
        <v>205</v>
      </c>
      <c r="J2" s="15" t="s">
        <v>206</v>
      </c>
      <c r="K2" s="15" t="s">
        <v>207</v>
      </c>
      <c r="L2" s="15" t="s">
        <v>208</v>
      </c>
      <c r="M2" s="15" t="s">
        <v>60</v>
      </c>
    </row>
    <row r="3" customFormat="false" ht="15" hidden="false" customHeight="true" outlineLevel="0" collapsed="false">
      <c r="A3" s="16" t="s">
        <v>63</v>
      </c>
      <c r="B3" s="16" t="s">
        <v>67</v>
      </c>
      <c r="C3" s="16" t="s">
        <v>78</v>
      </c>
      <c r="D3" s="16" t="s">
        <v>78</v>
      </c>
      <c r="E3" s="16" t="s">
        <v>138</v>
      </c>
      <c r="F3" s="16" t="s">
        <v>78</v>
      </c>
      <c r="G3" s="16" t="s">
        <v>138</v>
      </c>
      <c r="H3" s="16" t="s">
        <v>68</v>
      </c>
      <c r="I3" s="16" t="s">
        <v>78</v>
      </c>
      <c r="J3" s="16" t="s">
        <v>78</v>
      </c>
      <c r="K3" s="16" t="s">
        <v>68</v>
      </c>
      <c r="L3" s="16" t="s">
        <v>209</v>
      </c>
      <c r="M3" s="16" t="s">
        <v>210</v>
      </c>
    </row>
    <row r="4" customFormat="false" ht="25.5" hidden="false" customHeight="true" outlineLevel="0" collapsed="false">
      <c r="A4" s="13" t="s">
        <v>73</v>
      </c>
      <c r="B4" s="13" t="s">
        <v>67</v>
      </c>
      <c r="C4" s="19"/>
      <c r="D4" s="19"/>
      <c r="E4" s="19"/>
      <c r="F4" s="19"/>
      <c r="G4" s="19"/>
      <c r="H4" s="19"/>
      <c r="I4" s="19"/>
      <c r="J4" s="19"/>
      <c r="K4" s="19"/>
      <c r="L4" s="13"/>
      <c r="M4" s="21"/>
    </row>
    <row r="5" customFormat="false" ht="25.5" hidden="false" customHeight="true" outlineLevel="0" collapsed="false">
      <c r="A5" s="13" t="s">
        <v>79</v>
      </c>
      <c r="B5" s="19"/>
      <c r="C5" s="26" t="s">
        <v>78</v>
      </c>
      <c r="D5" s="26" t="s">
        <v>78</v>
      </c>
      <c r="E5" s="26" t="s">
        <v>78</v>
      </c>
      <c r="F5" s="26" t="s">
        <v>78</v>
      </c>
      <c r="G5" s="27" t="s">
        <v>138</v>
      </c>
      <c r="H5" s="26" t="s">
        <v>78</v>
      </c>
      <c r="I5" s="26" t="s">
        <v>78</v>
      </c>
      <c r="J5" s="26" t="s">
        <v>78</v>
      </c>
      <c r="K5" s="28" t="s">
        <v>68</v>
      </c>
      <c r="L5" s="13" t="s">
        <v>211</v>
      </c>
      <c r="M5" s="21"/>
    </row>
    <row r="6" customFormat="false" ht="25.5" hidden="false" customHeight="true" outlineLevel="0" collapsed="false">
      <c r="A6" s="13" t="s">
        <v>82</v>
      </c>
      <c r="B6" s="19"/>
      <c r="C6" s="26" t="s">
        <v>78</v>
      </c>
      <c r="D6" s="26" t="s">
        <v>78</v>
      </c>
      <c r="E6" s="26" t="s">
        <v>78</v>
      </c>
      <c r="F6" s="26" t="s">
        <v>78</v>
      </c>
      <c r="G6" s="27" t="s">
        <v>138</v>
      </c>
      <c r="H6" s="26" t="s">
        <v>78</v>
      </c>
      <c r="I6" s="26" t="s">
        <v>78</v>
      </c>
      <c r="J6" s="26" t="s">
        <v>78</v>
      </c>
      <c r="K6" s="28" t="s">
        <v>68</v>
      </c>
      <c r="L6" s="13" t="s">
        <v>211</v>
      </c>
      <c r="M6" s="21"/>
    </row>
    <row r="7" customFormat="false" ht="25.5" hidden="false" customHeight="true" outlineLevel="0" collapsed="false">
      <c r="A7" s="13" t="s">
        <v>117</v>
      </c>
      <c r="B7" s="19"/>
      <c r="C7" s="26" t="s">
        <v>78</v>
      </c>
      <c r="D7" s="26" t="s">
        <v>78</v>
      </c>
      <c r="E7" s="26" t="s">
        <v>78</v>
      </c>
      <c r="F7" s="26" t="s">
        <v>78</v>
      </c>
      <c r="G7" s="27" t="s">
        <v>138</v>
      </c>
      <c r="H7" s="28" t="s">
        <v>68</v>
      </c>
      <c r="I7" s="26" t="s">
        <v>78</v>
      </c>
      <c r="J7" s="26" t="s">
        <v>78</v>
      </c>
      <c r="K7" s="28" t="s">
        <v>68</v>
      </c>
      <c r="L7" s="13" t="s">
        <v>212</v>
      </c>
      <c r="M7" s="21"/>
    </row>
    <row r="8" customFormat="false" ht="25.5" hidden="false" customHeight="true" outlineLevel="0" collapsed="false">
      <c r="A8" s="13" t="s">
        <v>118</v>
      </c>
      <c r="B8" s="19"/>
      <c r="C8" s="26" t="s">
        <v>78</v>
      </c>
      <c r="D8" s="26" t="s">
        <v>78</v>
      </c>
      <c r="E8" s="26" t="s">
        <v>78</v>
      </c>
      <c r="F8" s="26" t="s">
        <v>78</v>
      </c>
      <c r="G8" s="27" t="s">
        <v>138</v>
      </c>
      <c r="H8" s="28" t="s">
        <v>68</v>
      </c>
      <c r="I8" s="26" t="s">
        <v>78</v>
      </c>
      <c r="J8" s="26" t="s">
        <v>78</v>
      </c>
      <c r="K8" s="28" t="s">
        <v>68</v>
      </c>
      <c r="L8" s="13" t="s">
        <v>213</v>
      </c>
      <c r="M8" s="21"/>
    </row>
    <row r="9" customFormat="false" ht="25.5" hidden="false" customHeight="true" outlineLevel="0" collapsed="false">
      <c r="A9" s="13" t="s">
        <v>119</v>
      </c>
      <c r="B9" s="19"/>
      <c r="C9" s="26" t="s">
        <v>78</v>
      </c>
      <c r="D9" s="26" t="s">
        <v>78</v>
      </c>
      <c r="E9" s="26" t="s">
        <v>78</v>
      </c>
      <c r="F9" s="26" t="s">
        <v>78</v>
      </c>
      <c r="G9" s="27" t="s">
        <v>138</v>
      </c>
      <c r="H9" s="28" t="s">
        <v>68</v>
      </c>
      <c r="I9" s="26" t="s">
        <v>78</v>
      </c>
      <c r="J9" s="26" t="s">
        <v>78</v>
      </c>
      <c r="K9" s="28" t="s">
        <v>68</v>
      </c>
      <c r="L9" s="13" t="s">
        <v>213</v>
      </c>
      <c r="M9" s="21"/>
    </row>
    <row r="10" customFormat="false" ht="25.5" hidden="false" customHeight="true" outlineLevel="0" collapsed="false">
      <c r="A10" s="13" t="s">
        <v>120</v>
      </c>
      <c r="B10" s="19"/>
      <c r="C10" s="26" t="s">
        <v>78</v>
      </c>
      <c r="D10" s="26" t="s">
        <v>78</v>
      </c>
      <c r="E10" s="26" t="s">
        <v>78</v>
      </c>
      <c r="F10" s="26" t="s">
        <v>78</v>
      </c>
      <c r="G10" s="27" t="s">
        <v>138</v>
      </c>
      <c r="H10" s="26" t="s">
        <v>78</v>
      </c>
      <c r="I10" s="26" t="s">
        <v>78</v>
      </c>
      <c r="J10" s="26" t="s">
        <v>78</v>
      </c>
      <c r="K10" s="28" t="s">
        <v>68</v>
      </c>
      <c r="L10" s="13" t="s">
        <v>211</v>
      </c>
      <c r="M10" s="21"/>
    </row>
    <row r="11" customFormat="false" ht="25.5" hidden="false" customHeight="true" outlineLevel="0" collapsed="false">
      <c r="A11" s="13" t="s">
        <v>121</v>
      </c>
      <c r="B11" s="19"/>
      <c r="C11" s="26" t="s">
        <v>78</v>
      </c>
      <c r="D11" s="26" t="s">
        <v>78</v>
      </c>
      <c r="E11" s="26" t="s">
        <v>78</v>
      </c>
      <c r="F11" s="26" t="s">
        <v>78</v>
      </c>
      <c r="G11" s="27" t="s">
        <v>138</v>
      </c>
      <c r="H11" s="28" t="s">
        <v>68</v>
      </c>
      <c r="I11" s="26" t="s">
        <v>78</v>
      </c>
      <c r="J11" s="26" t="s">
        <v>78</v>
      </c>
      <c r="K11" s="28" t="s">
        <v>68</v>
      </c>
      <c r="L11" s="13" t="s">
        <v>213</v>
      </c>
      <c r="M11" s="21"/>
    </row>
    <row r="12" customFormat="false" ht="25.5" hidden="false" customHeight="true" outlineLevel="0" collapsed="false">
      <c r="A12" s="13" t="s">
        <v>103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3"/>
      <c r="M12" s="21"/>
    </row>
    <row r="13" customFormat="false" ht="15" hidden="false" customHeight="true" outlineLevel="0" collapsed="false">
      <c r="A13" s="23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3"/>
      <c r="M13" s="24"/>
    </row>
    <row r="14" customFormat="false" ht="15" hidden="false" customHeight="true" outlineLevel="0" collapsed="false">
      <c r="A14" s="23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3"/>
      <c r="M14" s="24"/>
    </row>
    <row r="15" customFormat="false" ht="15" hidden="false" customHeight="true" outlineLevel="0" collapsed="false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3"/>
      <c r="M15" s="24"/>
    </row>
    <row r="16" customFormat="false" ht="15" hidden="false" customHeight="true" outlineLevel="0" collapsed="false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3"/>
      <c r="M16" s="24"/>
    </row>
    <row r="17" customFormat="false" ht="15" hidden="false" customHeight="true" outlineLevel="0" collapsed="false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3"/>
      <c r="M17" s="24"/>
    </row>
    <row r="18" customFormat="false" ht="15" hidden="false" customHeight="true" outlineLevel="0" collapsed="false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3"/>
      <c r="M18" s="24"/>
    </row>
    <row r="19" customFormat="false" ht="15" hidden="false" customHeight="true" outlineLevel="0" collapsed="false">
      <c r="A19" s="2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3"/>
      <c r="M19" s="24"/>
    </row>
    <row r="20" customFormat="false" ht="15" hidden="false" customHeight="true" outlineLevel="0" collapsed="false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3"/>
      <c r="M20" s="24"/>
    </row>
    <row r="22" customFormat="false" ht="18.75" hidden="false" customHeight="true" outlineLevel="0" collapsed="false">
      <c r="A22" s="29" t="s">
        <v>214</v>
      </c>
      <c r="B22" s="30" t="s">
        <v>215</v>
      </c>
      <c r="C22" s="30" t="s">
        <v>216</v>
      </c>
      <c r="D22" s="30" t="s">
        <v>217</v>
      </c>
      <c r="E22" s="30" t="s">
        <v>218</v>
      </c>
      <c r="F22" s="30" t="s">
        <v>219</v>
      </c>
      <c r="G22" s="30" t="s">
        <v>220</v>
      </c>
    </row>
  </sheetData>
  <mergeCells count="3">
    <mergeCell ref="A1:B1"/>
    <mergeCell ref="C1:J1"/>
    <mergeCell ref="K1:M1"/>
  </mergeCells>
  <dataValidations count="10">
    <dataValidation allowBlank="true" errorStyle="stop" operator="between" showDropDown="false" showErrorMessage="false" showInputMessage="false" sqref="B4:B20" type="list">
      <formula1>"Bruno,Jerry,Iasmin,Julia,Community,Marketing"</formula1>
      <formula2>0</formula2>
    </dataValidation>
    <dataValidation allowBlank="true" errorStyle="stop" operator="between" showDropDown="false" showErrorMessage="false" showInputMessage="false" sqref="C4:C20" type="list">
      <formula1>"Sim,Não,Parcial,N/A"</formula1>
      <formula2>0</formula2>
    </dataValidation>
    <dataValidation allowBlank="true" errorStyle="stop" operator="between" showDropDown="false" showErrorMessage="false" showInputMessage="false" sqref="D4:D20" type="list">
      <formula1>"Sim,Não,Parcial,N/A"</formula1>
      <formula2>0</formula2>
    </dataValidation>
    <dataValidation allowBlank="true" errorStyle="stop" operator="between" showDropDown="false" showErrorMessage="false" showInputMessage="false" sqref="E4:E20" type="list">
      <formula1>"Sim,Não,Parcial,N/A"</formula1>
      <formula2>0</formula2>
    </dataValidation>
    <dataValidation allowBlank="true" errorStyle="stop" operator="between" showDropDown="false" showErrorMessage="false" showInputMessage="false" sqref="F4:F20" type="list">
      <formula1>"Sim,Não,Parcial,N/A"</formula1>
      <formula2>0</formula2>
    </dataValidation>
    <dataValidation allowBlank="true" errorStyle="stop" operator="between" showDropDown="false" showErrorMessage="false" showInputMessage="false" sqref="G4:G20" type="list">
      <formula1>"Sim,Não,Parcial,N/A"</formula1>
      <formula2>0</formula2>
    </dataValidation>
    <dataValidation allowBlank="true" errorStyle="stop" operator="between" showDropDown="false" showErrorMessage="false" showInputMessage="false" sqref="H4:H20" type="list">
      <formula1>"Sim,Não,Parcial,N/A"</formula1>
      <formula2>0</formula2>
    </dataValidation>
    <dataValidation allowBlank="true" errorStyle="stop" operator="between" showDropDown="false" showErrorMessage="false" showInputMessage="false" sqref="I4:I20" type="list">
      <formula1>"Sim,Não,Parcial,N/A"</formula1>
      <formula2>0</formula2>
    </dataValidation>
    <dataValidation allowBlank="true" errorStyle="stop" operator="between" showDropDown="false" showErrorMessage="false" showInputMessage="false" sqref="J4:J20" type="list">
      <formula1>"Sim,Não,Parcial,N/A"</formula1>
      <formula2>0</formula2>
    </dataValidation>
    <dataValidation allowBlank="true" errorStyle="stop" operator="between" showDropDown="false" showErrorMessage="false" showInputMessage="false" sqref="K4:K20" type="list">
      <formula1>"Sim,Não,Parcial,N/A"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5"/>
    <col collapsed="false" customWidth="true" hidden="false" outlineLevel="0" max="3" min="3" style="1" width="11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2"/>
    <col collapsed="false" customWidth="true" hidden="false" outlineLevel="0" max="8" min="8" style="1" width="26"/>
  </cols>
  <sheetData>
    <row r="1" customFormat="false" ht="19.5" hidden="false" customHeight="true" outlineLevel="0" collapsed="false">
      <c r="A1" s="14" t="s">
        <v>125</v>
      </c>
      <c r="B1" s="14"/>
      <c r="C1" s="14"/>
      <c r="D1" s="14"/>
      <c r="E1" s="14"/>
      <c r="F1" s="14" t="s">
        <v>221</v>
      </c>
      <c r="G1" s="14"/>
      <c r="H1" s="14"/>
    </row>
    <row r="2" customFormat="false" ht="33.75" hidden="false" customHeight="true" outlineLevel="0" collapsed="false">
      <c r="A2" s="15" t="s">
        <v>222</v>
      </c>
      <c r="B2" s="15" t="s">
        <v>147</v>
      </c>
      <c r="C2" s="15" t="s">
        <v>52</v>
      </c>
      <c r="D2" s="15" t="s">
        <v>223</v>
      </c>
      <c r="E2" s="15" t="s">
        <v>53</v>
      </c>
      <c r="F2" s="15" t="s">
        <v>224</v>
      </c>
      <c r="G2" s="15" t="s">
        <v>61</v>
      </c>
      <c r="H2" s="15" t="s">
        <v>225</v>
      </c>
    </row>
    <row r="3" customFormat="false" ht="15" hidden="false" customHeight="true" outlineLevel="0" collapsed="false">
      <c r="A3" s="16" t="s">
        <v>226</v>
      </c>
      <c r="B3" s="16" t="s">
        <v>227</v>
      </c>
      <c r="C3" s="16" t="s">
        <v>159</v>
      </c>
      <c r="D3" s="16" t="s">
        <v>77</v>
      </c>
      <c r="E3" s="16" t="s">
        <v>228</v>
      </c>
      <c r="F3" s="16" t="s">
        <v>229</v>
      </c>
      <c r="G3" s="18" t="s">
        <v>71</v>
      </c>
      <c r="H3" s="16" t="s">
        <v>230</v>
      </c>
    </row>
    <row r="4" customFormat="false" ht="25.5" hidden="false" customHeight="true" outlineLevel="0" collapsed="false">
      <c r="A4" s="12" t="s">
        <v>167</v>
      </c>
      <c r="B4" s="13" t="s">
        <v>231</v>
      </c>
      <c r="C4" s="13" t="s">
        <v>159</v>
      </c>
      <c r="D4" s="13" t="s">
        <v>232</v>
      </c>
      <c r="E4" s="13" t="s">
        <v>233</v>
      </c>
      <c r="F4" s="12" t="s">
        <v>234</v>
      </c>
      <c r="G4" s="22"/>
      <c r="H4" s="21"/>
    </row>
    <row r="5" customFormat="false" ht="25.5" hidden="false" customHeight="true" outlineLevel="0" collapsed="false">
      <c r="A5" s="12" t="s">
        <v>235</v>
      </c>
      <c r="B5" s="13" t="s">
        <v>231</v>
      </c>
      <c r="C5" s="13" t="s">
        <v>159</v>
      </c>
      <c r="D5" s="13" t="s">
        <v>158</v>
      </c>
      <c r="E5" s="13" t="s">
        <v>233</v>
      </c>
      <c r="F5" s="12" t="s">
        <v>236</v>
      </c>
      <c r="G5" s="22"/>
      <c r="H5" s="21"/>
    </row>
    <row r="6" customFormat="false" ht="25.5" hidden="false" customHeight="true" outlineLevel="0" collapsed="false">
      <c r="A6" s="12" t="s">
        <v>237</v>
      </c>
      <c r="B6" s="13" t="s">
        <v>231</v>
      </c>
      <c r="C6" s="13" t="s">
        <v>159</v>
      </c>
      <c r="D6" s="13" t="s">
        <v>238</v>
      </c>
      <c r="E6" s="13" t="s">
        <v>233</v>
      </c>
      <c r="F6" s="12" t="s">
        <v>239</v>
      </c>
      <c r="G6" s="22"/>
      <c r="H6" s="21"/>
    </row>
    <row r="7" customFormat="false" ht="25.5" hidden="false" customHeight="true" outlineLevel="0" collapsed="false">
      <c r="A7" s="12" t="s">
        <v>240</v>
      </c>
      <c r="B7" s="13" t="s">
        <v>231</v>
      </c>
      <c r="C7" s="13" t="s">
        <v>159</v>
      </c>
      <c r="D7" s="13" t="s">
        <v>77</v>
      </c>
      <c r="E7" s="13" t="s">
        <v>233</v>
      </c>
      <c r="F7" s="12" t="s">
        <v>241</v>
      </c>
      <c r="G7" s="22"/>
      <c r="H7" s="21"/>
    </row>
    <row r="8" customFormat="false" ht="25.5" hidden="false" customHeight="true" outlineLevel="0" collapsed="false">
      <c r="A8" s="12" t="s">
        <v>242</v>
      </c>
      <c r="B8" s="13" t="s">
        <v>231</v>
      </c>
      <c r="C8" s="13" t="s">
        <v>159</v>
      </c>
      <c r="D8" s="19"/>
      <c r="E8" s="13" t="s">
        <v>233</v>
      </c>
      <c r="F8" s="12" t="s">
        <v>243</v>
      </c>
      <c r="G8" s="22"/>
      <c r="H8" s="21"/>
    </row>
    <row r="9" customFormat="false" ht="25.5" hidden="false" customHeight="true" outlineLevel="0" collapsed="false">
      <c r="A9" s="12" t="s">
        <v>244</v>
      </c>
      <c r="B9" s="13" t="s">
        <v>231</v>
      </c>
      <c r="C9" s="13" t="s">
        <v>77</v>
      </c>
      <c r="D9" s="13" t="s">
        <v>67</v>
      </c>
      <c r="E9" s="13" t="s">
        <v>233</v>
      </c>
      <c r="F9" s="12" t="s">
        <v>245</v>
      </c>
      <c r="G9" s="22"/>
      <c r="H9" s="21"/>
    </row>
    <row r="10" customFormat="false" ht="25.5" hidden="false" customHeight="true" outlineLevel="0" collapsed="false">
      <c r="A10" s="12" t="s">
        <v>246</v>
      </c>
      <c r="B10" s="13" t="s">
        <v>231</v>
      </c>
      <c r="C10" s="13" t="s">
        <v>159</v>
      </c>
      <c r="D10" s="13" t="s">
        <v>247</v>
      </c>
      <c r="E10" s="13" t="s">
        <v>233</v>
      </c>
      <c r="F10" s="12" t="s">
        <v>248</v>
      </c>
      <c r="G10" s="22"/>
      <c r="H10" s="21"/>
    </row>
    <row r="11" customFormat="false" ht="25.5" hidden="false" customHeight="true" outlineLevel="0" collapsed="false">
      <c r="A11" s="12" t="s">
        <v>249</v>
      </c>
      <c r="B11" s="13" t="s">
        <v>227</v>
      </c>
      <c r="C11" s="13" t="s">
        <v>159</v>
      </c>
      <c r="D11" s="13" t="s">
        <v>250</v>
      </c>
      <c r="E11" s="13" t="s">
        <v>233</v>
      </c>
      <c r="F11" s="12" t="s">
        <v>251</v>
      </c>
      <c r="G11" s="22"/>
      <c r="H11" s="21"/>
    </row>
    <row r="12" customFormat="false" ht="25.5" hidden="false" customHeight="true" outlineLevel="0" collapsed="false">
      <c r="A12" s="12" t="s">
        <v>252</v>
      </c>
      <c r="B12" s="13" t="s">
        <v>227</v>
      </c>
      <c r="C12" s="13" t="s">
        <v>159</v>
      </c>
      <c r="D12" s="19"/>
      <c r="E12" s="13" t="s">
        <v>233</v>
      </c>
      <c r="F12" s="12" t="s">
        <v>253</v>
      </c>
      <c r="G12" s="22"/>
      <c r="H12" s="21"/>
    </row>
    <row r="13" customFormat="false" ht="25.5" hidden="false" customHeight="true" outlineLevel="0" collapsed="false">
      <c r="A13" s="12" t="s">
        <v>254</v>
      </c>
      <c r="B13" s="13" t="s">
        <v>227</v>
      </c>
      <c r="C13" s="13" t="s">
        <v>159</v>
      </c>
      <c r="D13" s="13" t="s">
        <v>255</v>
      </c>
      <c r="E13" s="13" t="s">
        <v>233</v>
      </c>
      <c r="F13" s="12" t="s">
        <v>256</v>
      </c>
      <c r="G13" s="22"/>
      <c r="H13" s="21"/>
    </row>
    <row r="14" customFormat="false" ht="15" hidden="false" customHeight="true" outlineLevel="0" collapsed="false">
      <c r="A14" s="23"/>
      <c r="B14" s="23"/>
      <c r="C14" s="23"/>
      <c r="D14" s="24"/>
      <c r="E14" s="23"/>
      <c r="F14" s="23"/>
      <c r="G14" s="24"/>
      <c r="H14" s="24"/>
    </row>
    <row r="15" customFormat="false" ht="15" hidden="false" customHeight="true" outlineLevel="0" collapsed="false">
      <c r="A15" s="23"/>
      <c r="B15" s="23"/>
      <c r="C15" s="23"/>
      <c r="D15" s="24"/>
      <c r="E15" s="23"/>
      <c r="F15" s="23"/>
      <c r="G15" s="24"/>
      <c r="H15" s="24"/>
    </row>
    <row r="16" customFormat="false" ht="15" hidden="false" customHeight="true" outlineLevel="0" collapsed="false">
      <c r="A16" s="23"/>
      <c r="B16" s="23"/>
      <c r="C16" s="23"/>
      <c r="D16" s="24"/>
      <c r="E16" s="23"/>
      <c r="F16" s="23"/>
      <c r="G16" s="24"/>
      <c r="H16" s="24"/>
    </row>
    <row r="17" customFormat="false" ht="15" hidden="false" customHeight="true" outlineLevel="0" collapsed="false">
      <c r="A17" s="23"/>
      <c r="B17" s="23"/>
      <c r="C17" s="23"/>
      <c r="D17" s="24"/>
      <c r="E17" s="23"/>
      <c r="F17" s="23"/>
      <c r="G17" s="24"/>
      <c r="H17" s="24"/>
    </row>
    <row r="18" customFormat="false" ht="15" hidden="false" customHeight="true" outlineLevel="0" collapsed="false">
      <c r="A18" s="23"/>
      <c r="B18" s="23"/>
      <c r="C18" s="23"/>
      <c r="D18" s="24"/>
      <c r="E18" s="23"/>
      <c r="F18" s="23"/>
      <c r="G18" s="24"/>
      <c r="H18" s="24"/>
    </row>
    <row r="19" customFormat="false" ht="15" hidden="false" customHeight="true" outlineLevel="0" collapsed="false">
      <c r="A19" s="23"/>
      <c r="B19" s="23"/>
      <c r="C19" s="23"/>
      <c r="D19" s="24"/>
      <c r="E19" s="23"/>
      <c r="F19" s="23"/>
      <c r="G19" s="24"/>
      <c r="H19" s="24"/>
    </row>
    <row r="20" customFormat="false" ht="15" hidden="false" customHeight="true" outlineLevel="0" collapsed="false">
      <c r="A20" s="23"/>
      <c r="B20" s="23"/>
      <c r="C20" s="23"/>
      <c r="D20" s="24"/>
      <c r="E20" s="23"/>
      <c r="F20" s="23"/>
      <c r="G20" s="24"/>
      <c r="H20" s="24"/>
    </row>
    <row r="21" customFormat="false" ht="15" hidden="false" customHeight="true" outlineLevel="0" collapsed="false">
      <c r="A21" s="23"/>
      <c r="B21" s="23"/>
      <c r="C21" s="23"/>
      <c r="D21" s="24"/>
      <c r="E21" s="23"/>
      <c r="F21" s="23"/>
      <c r="G21" s="24"/>
      <c r="H21" s="24"/>
    </row>
  </sheetData>
  <mergeCells count="2">
    <mergeCell ref="A1:E1"/>
    <mergeCell ref="F1:H1"/>
  </mergeCells>
  <dataValidations count="3">
    <dataValidation allowBlank="true" errorStyle="stop" operator="between" showDropDown="false" showErrorMessage="false" showInputMessage="false" sqref="B4:B21" type="list">
      <formula1>"Crítica agosto,Estrutural,Operacional"</formula1>
      <formula2>0</formula2>
    </dataValidation>
    <dataValidation allowBlank="true" errorStyle="stop" operator="between" showDropDown="false" showErrorMessage="false" showInputMessage="false" sqref="C4:C21" type="list">
      <formula1>"Bruno,Jerry,Iasmin,Julia,Community,Marketing"</formula1>
      <formula2>0</formula2>
    </dataValidation>
    <dataValidation allowBlank="true" errorStyle="stop" operator="between" showDropDown="false" showErrorMessage="false" showInputMessage="false" sqref="E4:E21" type="list">
      <formula1>"Aberta,Em andamento,Decidida,Bloqueada"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5"/>
    <col collapsed="false" customWidth="true" hidden="false" outlineLevel="0" max="3" min="3" style="1" width="13"/>
    <col collapsed="false" customWidth="true" hidden="false" outlineLevel="0" max="4" min="4" style="1" width="8"/>
    <col collapsed="false" customWidth="true" hidden="false" outlineLevel="0" max="5" min="5" style="1" width="12"/>
    <col collapsed="false" customWidth="true" hidden="false" outlineLevel="0" max="7" min="6" style="1" width="10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14"/>
    <col collapsed="false" customWidth="true" hidden="false" outlineLevel="0" max="12" min="12" style="1" width="13"/>
  </cols>
  <sheetData>
    <row r="1" customFormat="false" ht="30" hidden="false" customHeight="true" outlineLevel="0" collapsed="false">
      <c r="A1" s="31" t="s">
        <v>257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customFormat="false" ht="27.75" hidden="false" customHeight="true" outlineLevel="0" collapsed="false">
      <c r="A2" s="32" t="s">
        <v>258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customFormat="false" ht="15" hidden="false" customHeight="true" outlineLevel="0" collapsed="false">
      <c r="A3" s="33" t="s">
        <v>259</v>
      </c>
      <c r="B3" s="33" t="s">
        <v>260</v>
      </c>
      <c r="C3" s="33" t="s">
        <v>261</v>
      </c>
      <c r="D3" s="33" t="s">
        <v>262</v>
      </c>
      <c r="E3" s="33" t="s">
        <v>263</v>
      </c>
      <c r="F3" s="33" t="s">
        <v>264</v>
      </c>
      <c r="G3" s="33" t="s">
        <v>157</v>
      </c>
      <c r="H3" s="33" t="s">
        <v>212</v>
      </c>
      <c r="I3" s="33" t="s">
        <v>265</v>
      </c>
      <c r="J3" s="33" t="s">
        <v>266</v>
      </c>
      <c r="K3" s="33" t="s">
        <v>267</v>
      </c>
      <c r="L3" s="33" t="s">
        <v>268</v>
      </c>
    </row>
    <row r="4" customFormat="false" ht="21.75" hidden="false" customHeight="true" outlineLevel="0" collapsed="false">
      <c r="A4" s="12" t="s">
        <v>269</v>
      </c>
      <c r="B4" s="13"/>
      <c r="C4" s="13" t="s">
        <v>78</v>
      </c>
      <c r="D4" s="13" t="s">
        <v>78</v>
      </c>
      <c r="E4" s="13" t="s">
        <v>78</v>
      </c>
      <c r="F4" s="13" t="s">
        <v>78</v>
      </c>
      <c r="G4" s="13" t="s">
        <v>68</v>
      </c>
      <c r="H4" s="13" t="s">
        <v>78</v>
      </c>
      <c r="I4" s="13" t="s">
        <v>78</v>
      </c>
      <c r="J4" s="13" t="s">
        <v>270</v>
      </c>
      <c r="K4" s="34" t="s">
        <v>68</v>
      </c>
      <c r="L4" s="35" t="n">
        <v>46237</v>
      </c>
    </row>
    <row r="5" customFormat="false" ht="21.75" hidden="false" customHeight="true" outlineLevel="0" collapsed="false">
      <c r="A5" s="12" t="s">
        <v>271</v>
      </c>
      <c r="B5" s="13"/>
      <c r="C5" s="13" t="s">
        <v>78</v>
      </c>
      <c r="D5" s="13" t="s">
        <v>78</v>
      </c>
      <c r="E5" s="13" t="s">
        <v>78</v>
      </c>
      <c r="F5" s="13" t="s">
        <v>78</v>
      </c>
      <c r="G5" s="13" t="s">
        <v>78</v>
      </c>
      <c r="H5" s="13" t="s">
        <v>78</v>
      </c>
      <c r="I5" s="13" t="s">
        <v>78</v>
      </c>
      <c r="J5" s="13" t="s">
        <v>272</v>
      </c>
      <c r="K5" s="36" t="s">
        <v>78</v>
      </c>
      <c r="L5" s="35" t="n">
        <v>46237</v>
      </c>
    </row>
    <row r="6" customFormat="false" ht="21.75" hidden="false" customHeight="true" outlineLevel="0" collapsed="false">
      <c r="A6" s="12" t="s">
        <v>273</v>
      </c>
      <c r="B6" s="13"/>
      <c r="C6" s="13" t="s">
        <v>68</v>
      </c>
      <c r="D6" s="13" t="s">
        <v>68</v>
      </c>
      <c r="E6" s="13" t="s">
        <v>78</v>
      </c>
      <c r="F6" s="13" t="s">
        <v>78</v>
      </c>
      <c r="G6" s="13" t="s">
        <v>68</v>
      </c>
      <c r="H6" s="13" t="s">
        <v>68</v>
      </c>
      <c r="I6" s="13" t="s">
        <v>68</v>
      </c>
      <c r="J6" s="13" t="s">
        <v>274</v>
      </c>
      <c r="K6" s="34" t="s">
        <v>68</v>
      </c>
      <c r="L6" s="35" t="n">
        <v>46237</v>
      </c>
    </row>
    <row r="7" customFormat="false" ht="21.75" hidden="false" customHeight="true" outlineLevel="0" collapsed="false">
      <c r="A7" s="12" t="s">
        <v>275</v>
      </c>
      <c r="B7" s="13"/>
      <c r="C7" s="13" t="s">
        <v>78</v>
      </c>
      <c r="D7" s="13" t="s">
        <v>78</v>
      </c>
      <c r="E7" s="13" t="s">
        <v>78</v>
      </c>
      <c r="F7" s="13" t="s">
        <v>78</v>
      </c>
      <c r="G7" s="13" t="s">
        <v>78</v>
      </c>
      <c r="H7" s="13" t="s">
        <v>78</v>
      </c>
      <c r="I7" s="13" t="s">
        <v>78</v>
      </c>
      <c r="J7" s="13" t="s">
        <v>272</v>
      </c>
      <c r="K7" s="36" t="s">
        <v>78</v>
      </c>
      <c r="L7" s="35" t="n">
        <v>46237</v>
      </c>
    </row>
    <row r="8" customFormat="false" ht="21.75" hidden="false" customHeight="true" outlineLevel="0" collapsed="false">
      <c r="A8" s="12" t="s">
        <v>276</v>
      </c>
      <c r="B8" s="13"/>
      <c r="C8" s="13" t="s">
        <v>78</v>
      </c>
      <c r="D8" s="13" t="s">
        <v>78</v>
      </c>
      <c r="E8" s="13" t="s">
        <v>78</v>
      </c>
      <c r="F8" s="13" t="s">
        <v>78</v>
      </c>
      <c r="G8" s="13" t="s">
        <v>68</v>
      </c>
      <c r="H8" s="13" t="s">
        <v>68</v>
      </c>
      <c r="I8" s="13" t="s">
        <v>78</v>
      </c>
      <c r="J8" s="13" t="s">
        <v>277</v>
      </c>
      <c r="K8" s="34" t="s">
        <v>68</v>
      </c>
      <c r="L8" s="35" t="n">
        <v>46237</v>
      </c>
    </row>
    <row r="9" customFormat="false" ht="21.75" hidden="false" customHeight="true" outlineLevel="0" collapsed="false">
      <c r="A9" s="12" t="s">
        <v>278</v>
      </c>
      <c r="B9" s="13"/>
      <c r="C9" s="13" t="s">
        <v>68</v>
      </c>
      <c r="D9" s="13" t="s">
        <v>68</v>
      </c>
      <c r="E9" s="13" t="s">
        <v>78</v>
      </c>
      <c r="F9" s="13" t="s">
        <v>78</v>
      </c>
      <c r="G9" s="13" t="s">
        <v>78</v>
      </c>
      <c r="H9" s="13" t="s">
        <v>68</v>
      </c>
      <c r="I9" s="13" t="s">
        <v>78</v>
      </c>
      <c r="J9" s="13" t="s">
        <v>277</v>
      </c>
      <c r="K9" s="34" t="s">
        <v>68</v>
      </c>
      <c r="L9" s="35" t="n">
        <v>46237</v>
      </c>
    </row>
    <row r="10" customFormat="false" ht="21.75" hidden="false" customHeight="true" outlineLevel="0" collapsed="false">
      <c r="A10" s="12" t="s">
        <v>279</v>
      </c>
      <c r="B10" s="13"/>
      <c r="C10" s="13" t="s">
        <v>78</v>
      </c>
      <c r="D10" s="13" t="s">
        <v>78</v>
      </c>
      <c r="E10" s="13" t="s">
        <v>78</v>
      </c>
      <c r="F10" s="13" t="s">
        <v>78</v>
      </c>
      <c r="G10" s="13" t="s">
        <v>78</v>
      </c>
      <c r="H10" s="13" t="s">
        <v>78</v>
      </c>
      <c r="I10" s="13" t="s">
        <v>68</v>
      </c>
      <c r="J10" s="13" t="s">
        <v>270</v>
      </c>
      <c r="K10" s="34" t="s">
        <v>68</v>
      </c>
      <c r="L10" s="35" t="n">
        <v>46237</v>
      </c>
    </row>
    <row r="11" customFormat="false" ht="21.75" hidden="false" customHeight="true" outlineLevel="0" collapsed="false">
      <c r="A11" s="12" t="s">
        <v>280</v>
      </c>
      <c r="B11" s="13"/>
      <c r="C11" s="13" t="s">
        <v>78</v>
      </c>
      <c r="D11" s="13" t="s">
        <v>78</v>
      </c>
      <c r="E11" s="13" t="s">
        <v>78</v>
      </c>
      <c r="F11" s="13" t="s">
        <v>78</v>
      </c>
      <c r="G11" s="13" t="s">
        <v>78</v>
      </c>
      <c r="H11" s="13" t="s">
        <v>78</v>
      </c>
      <c r="I11" s="13" t="s">
        <v>78</v>
      </c>
      <c r="J11" s="13" t="s">
        <v>272</v>
      </c>
      <c r="K11" s="36" t="s">
        <v>78</v>
      </c>
      <c r="L11" s="35" t="n">
        <v>46234</v>
      </c>
    </row>
    <row r="12" customFormat="false" ht="21.75" hidden="false" customHeight="true" outlineLevel="0" collapsed="false">
      <c r="A12" s="12" t="s">
        <v>281</v>
      </c>
      <c r="B12" s="13" t="s">
        <v>65</v>
      </c>
      <c r="C12" s="13" t="s">
        <v>78</v>
      </c>
      <c r="D12" s="13" t="s">
        <v>78</v>
      </c>
      <c r="E12" s="13" t="s">
        <v>78</v>
      </c>
      <c r="F12" s="13" t="s">
        <v>78</v>
      </c>
      <c r="G12" s="13" t="s">
        <v>78</v>
      </c>
      <c r="H12" s="13" t="s">
        <v>78</v>
      </c>
      <c r="I12" s="13" t="s">
        <v>78</v>
      </c>
      <c r="J12" s="13" t="s">
        <v>272</v>
      </c>
      <c r="K12" s="36" t="s">
        <v>78</v>
      </c>
      <c r="L12" s="35" t="n">
        <v>46233</v>
      </c>
    </row>
    <row r="13" customFormat="false" ht="21.75" hidden="false" customHeight="true" outlineLevel="0" collapsed="false">
      <c r="A13" s="12" t="s">
        <v>282</v>
      </c>
      <c r="B13" s="13" t="s">
        <v>65</v>
      </c>
      <c r="C13" s="13" t="s">
        <v>68</v>
      </c>
      <c r="D13" s="13" t="s">
        <v>68</v>
      </c>
      <c r="E13" s="13" t="s">
        <v>68</v>
      </c>
      <c r="F13" s="13" t="s">
        <v>68</v>
      </c>
      <c r="G13" s="13" t="s">
        <v>68</v>
      </c>
      <c r="H13" s="13" t="s">
        <v>68</v>
      </c>
      <c r="I13" s="13" t="s">
        <v>68</v>
      </c>
      <c r="J13" s="13" t="s">
        <v>283</v>
      </c>
      <c r="K13" s="34" t="s">
        <v>68</v>
      </c>
      <c r="L13" s="35" t="n">
        <v>46234</v>
      </c>
    </row>
    <row r="14" customFormat="false" ht="21.75" hidden="false" customHeight="true" outlineLevel="0" collapsed="false">
      <c r="A14" s="12" t="s">
        <v>284</v>
      </c>
      <c r="B14" s="13" t="s">
        <v>65</v>
      </c>
      <c r="C14" s="13" t="s">
        <v>78</v>
      </c>
      <c r="D14" s="13" t="s">
        <v>78</v>
      </c>
      <c r="E14" s="13" t="s">
        <v>78</v>
      </c>
      <c r="F14" s="13" t="s">
        <v>78</v>
      </c>
      <c r="G14" s="13" t="s">
        <v>68</v>
      </c>
      <c r="H14" s="13" t="s">
        <v>68</v>
      </c>
      <c r="I14" s="13" t="s">
        <v>78</v>
      </c>
      <c r="J14" s="13" t="s">
        <v>277</v>
      </c>
      <c r="K14" s="34" t="s">
        <v>68</v>
      </c>
      <c r="L14" s="35" t="n">
        <v>46220</v>
      </c>
    </row>
    <row r="15" customFormat="false" ht="21.75" hidden="false" customHeight="true" outlineLevel="0" collapsed="false">
      <c r="A15" s="12" t="s">
        <v>285</v>
      </c>
      <c r="B15" s="13" t="s">
        <v>65</v>
      </c>
      <c r="C15" s="13" t="s">
        <v>78</v>
      </c>
      <c r="D15" s="13" t="s">
        <v>78</v>
      </c>
      <c r="E15" s="13" t="s">
        <v>78</v>
      </c>
      <c r="F15" s="13" t="s">
        <v>78</v>
      </c>
      <c r="G15" s="13" t="s">
        <v>78</v>
      </c>
      <c r="H15" s="13" t="s">
        <v>78</v>
      </c>
      <c r="I15" s="13" t="s">
        <v>78</v>
      </c>
      <c r="J15" s="13" t="s">
        <v>272</v>
      </c>
      <c r="K15" s="36" t="s">
        <v>78</v>
      </c>
      <c r="L15" s="35" t="n">
        <v>46220</v>
      </c>
    </row>
    <row r="16" customFormat="false" ht="21.75" hidden="false" customHeight="true" outlineLevel="0" collapsed="false">
      <c r="A16" s="12" t="s">
        <v>286</v>
      </c>
      <c r="B16" s="13" t="s">
        <v>65</v>
      </c>
      <c r="C16" s="13" t="s">
        <v>78</v>
      </c>
      <c r="D16" s="13" t="s">
        <v>78</v>
      </c>
      <c r="E16" s="13" t="s">
        <v>78</v>
      </c>
      <c r="F16" s="13" t="s">
        <v>78</v>
      </c>
      <c r="G16" s="13" t="s">
        <v>68</v>
      </c>
      <c r="H16" s="13" t="s">
        <v>68</v>
      </c>
      <c r="I16" s="13" t="s">
        <v>78</v>
      </c>
      <c r="J16" s="13" t="s">
        <v>277</v>
      </c>
      <c r="K16" s="34" t="s">
        <v>68</v>
      </c>
      <c r="L16" s="35" t="n">
        <v>46231</v>
      </c>
    </row>
    <row r="17" customFormat="false" ht="21.75" hidden="false" customHeight="true" outlineLevel="0" collapsed="false">
      <c r="A17" s="12" t="s">
        <v>287</v>
      </c>
      <c r="B17" s="13" t="s">
        <v>65</v>
      </c>
      <c r="C17" s="13" t="s">
        <v>78</v>
      </c>
      <c r="D17" s="13" t="s">
        <v>78</v>
      </c>
      <c r="E17" s="13" t="s">
        <v>78</v>
      </c>
      <c r="F17" s="13" t="s">
        <v>78</v>
      </c>
      <c r="G17" s="13" t="s">
        <v>78</v>
      </c>
      <c r="H17" s="13" t="s">
        <v>78</v>
      </c>
      <c r="I17" s="13" t="s">
        <v>78</v>
      </c>
      <c r="J17" s="13" t="s">
        <v>272</v>
      </c>
      <c r="K17" s="36" t="s">
        <v>78</v>
      </c>
      <c r="L17" s="35" t="n">
        <v>46231</v>
      </c>
    </row>
    <row r="18" customFormat="false" ht="21.75" hidden="false" customHeight="true" outlineLevel="0" collapsed="false">
      <c r="A18" s="12" t="s">
        <v>288</v>
      </c>
      <c r="B18" s="13" t="s">
        <v>65</v>
      </c>
      <c r="C18" s="13" t="s">
        <v>68</v>
      </c>
      <c r="D18" s="13" t="s">
        <v>68</v>
      </c>
      <c r="E18" s="13" t="s">
        <v>68</v>
      </c>
      <c r="F18" s="13" t="s">
        <v>78</v>
      </c>
      <c r="G18" s="13" t="s">
        <v>68</v>
      </c>
      <c r="H18" s="13" t="s">
        <v>68</v>
      </c>
      <c r="I18" s="13" t="s">
        <v>78</v>
      </c>
      <c r="J18" s="13" t="s">
        <v>274</v>
      </c>
      <c r="K18" s="34" t="s">
        <v>68</v>
      </c>
      <c r="L18" s="35" t="n">
        <v>46234</v>
      </c>
    </row>
    <row r="19" customFormat="false" ht="21.75" hidden="false" customHeight="true" outlineLevel="0" collapsed="false">
      <c r="A19" s="12" t="s">
        <v>117</v>
      </c>
      <c r="B19" s="13" t="s">
        <v>65</v>
      </c>
      <c r="C19" s="13" t="s">
        <v>78</v>
      </c>
      <c r="D19" s="13" t="s">
        <v>78</v>
      </c>
      <c r="E19" s="13" t="s">
        <v>78</v>
      </c>
      <c r="F19" s="13" t="s">
        <v>78</v>
      </c>
      <c r="G19" s="13" t="s">
        <v>78</v>
      </c>
      <c r="H19" s="13" t="s">
        <v>68</v>
      </c>
      <c r="I19" s="13" t="s">
        <v>78</v>
      </c>
      <c r="J19" s="13" t="s">
        <v>270</v>
      </c>
      <c r="K19" s="34" t="s">
        <v>68</v>
      </c>
      <c r="L19" s="35" t="n">
        <v>46232</v>
      </c>
    </row>
    <row r="20" customFormat="false" ht="21.75" hidden="false" customHeight="true" outlineLevel="0" collapsed="false">
      <c r="A20" s="12" t="s">
        <v>289</v>
      </c>
      <c r="B20" s="13" t="s">
        <v>65</v>
      </c>
      <c r="C20" s="13" t="s">
        <v>68</v>
      </c>
      <c r="D20" s="13" t="s">
        <v>68</v>
      </c>
      <c r="E20" s="13" t="s">
        <v>78</v>
      </c>
      <c r="F20" s="13" t="s">
        <v>78</v>
      </c>
      <c r="G20" s="13" t="s">
        <v>68</v>
      </c>
      <c r="H20" s="13" t="s">
        <v>68</v>
      </c>
      <c r="I20" s="13" t="s">
        <v>78</v>
      </c>
      <c r="J20" s="13" t="s">
        <v>290</v>
      </c>
      <c r="K20" s="34" t="s">
        <v>68</v>
      </c>
      <c r="L20" s="35" t="n">
        <v>46227</v>
      </c>
    </row>
    <row r="21" customFormat="false" ht="21.75" hidden="false" customHeight="true" outlineLevel="0" collapsed="false">
      <c r="A21" s="12" t="s">
        <v>291</v>
      </c>
      <c r="B21" s="13" t="s">
        <v>65</v>
      </c>
      <c r="C21" s="13" t="s">
        <v>68</v>
      </c>
      <c r="D21" s="13" t="s">
        <v>68</v>
      </c>
      <c r="E21" s="13" t="s">
        <v>68</v>
      </c>
      <c r="F21" s="13" t="s">
        <v>68</v>
      </c>
      <c r="G21" s="13" t="s">
        <v>68</v>
      </c>
      <c r="H21" s="13" t="s">
        <v>68</v>
      </c>
      <c r="I21" s="13" t="s">
        <v>68</v>
      </c>
      <c r="J21" s="13" t="s">
        <v>283</v>
      </c>
      <c r="K21" s="34" t="s">
        <v>68</v>
      </c>
      <c r="L21" s="35" t="n">
        <v>46231</v>
      </c>
    </row>
    <row r="22" customFormat="false" ht="21.75" hidden="false" customHeight="true" outlineLevel="0" collapsed="false">
      <c r="A22" s="12" t="s">
        <v>292</v>
      </c>
      <c r="B22" s="13" t="s">
        <v>65</v>
      </c>
      <c r="C22" s="13" t="s">
        <v>68</v>
      </c>
      <c r="D22" s="13" t="s">
        <v>68</v>
      </c>
      <c r="E22" s="13" t="s">
        <v>68</v>
      </c>
      <c r="F22" s="13" t="s">
        <v>68</v>
      </c>
      <c r="G22" s="13" t="s">
        <v>68</v>
      </c>
      <c r="H22" s="13" t="s">
        <v>68</v>
      </c>
      <c r="I22" s="13" t="s">
        <v>68</v>
      </c>
      <c r="J22" s="13" t="s">
        <v>283</v>
      </c>
      <c r="K22" s="34" t="s">
        <v>68</v>
      </c>
      <c r="L22" s="35" t="n">
        <v>46233</v>
      </c>
    </row>
    <row r="23" customFormat="false" ht="21.75" hidden="false" customHeight="true" outlineLevel="0" collapsed="false">
      <c r="A23" s="12" t="s">
        <v>120</v>
      </c>
      <c r="B23" s="13" t="s">
        <v>65</v>
      </c>
      <c r="C23" s="13" t="s">
        <v>78</v>
      </c>
      <c r="D23" s="13" t="s">
        <v>78</v>
      </c>
      <c r="E23" s="13" t="s">
        <v>78</v>
      </c>
      <c r="F23" s="13" t="s">
        <v>78</v>
      </c>
      <c r="G23" s="13" t="s">
        <v>68</v>
      </c>
      <c r="H23" s="13" t="s">
        <v>78</v>
      </c>
      <c r="I23" s="13" t="s">
        <v>68</v>
      </c>
      <c r="J23" s="13" t="s">
        <v>277</v>
      </c>
      <c r="K23" s="34" t="s">
        <v>68</v>
      </c>
      <c r="L23" s="35" t="n">
        <v>46231</v>
      </c>
    </row>
    <row r="24" customFormat="false" ht="21.75" hidden="false" customHeight="true" outlineLevel="0" collapsed="false">
      <c r="A24" s="12" t="s">
        <v>293</v>
      </c>
      <c r="B24" s="13" t="s">
        <v>65</v>
      </c>
      <c r="C24" s="13" t="s">
        <v>78</v>
      </c>
      <c r="D24" s="13" t="s">
        <v>78</v>
      </c>
      <c r="E24" s="13" t="s">
        <v>78</v>
      </c>
      <c r="F24" s="13" t="s">
        <v>78</v>
      </c>
      <c r="G24" s="13" t="s">
        <v>78</v>
      </c>
      <c r="H24" s="13" t="s">
        <v>78</v>
      </c>
      <c r="I24" s="13" t="s">
        <v>78</v>
      </c>
      <c r="J24" s="13" t="s">
        <v>272</v>
      </c>
      <c r="K24" s="36" t="s">
        <v>78</v>
      </c>
      <c r="L24" s="35" t="n">
        <v>46231</v>
      </c>
    </row>
    <row r="25" customFormat="false" ht="21.75" hidden="false" customHeight="true" outlineLevel="0" collapsed="false">
      <c r="A25" s="12" t="s">
        <v>294</v>
      </c>
      <c r="B25" s="13" t="s">
        <v>65</v>
      </c>
      <c r="C25" s="13" t="s">
        <v>68</v>
      </c>
      <c r="D25" s="13" t="s">
        <v>68</v>
      </c>
      <c r="E25" s="13" t="s">
        <v>68</v>
      </c>
      <c r="F25" s="13" t="s">
        <v>78</v>
      </c>
      <c r="G25" s="13" t="s">
        <v>68</v>
      </c>
      <c r="H25" s="13" t="s">
        <v>78</v>
      </c>
      <c r="I25" s="13" t="s">
        <v>68</v>
      </c>
      <c r="J25" s="13" t="s">
        <v>274</v>
      </c>
      <c r="K25" s="34" t="s">
        <v>68</v>
      </c>
      <c r="L25" s="35" t="n">
        <v>46218</v>
      </c>
    </row>
    <row r="26" customFormat="false" ht="21.75" hidden="false" customHeight="true" outlineLevel="0" collapsed="false">
      <c r="A26" s="12" t="s">
        <v>121</v>
      </c>
      <c r="B26" s="13" t="s">
        <v>295</v>
      </c>
      <c r="C26" s="13" t="s">
        <v>78</v>
      </c>
      <c r="D26" s="13" t="s">
        <v>78</v>
      </c>
      <c r="E26" s="13" t="s">
        <v>78</v>
      </c>
      <c r="F26" s="13" t="s">
        <v>78</v>
      </c>
      <c r="G26" s="13" t="s">
        <v>68</v>
      </c>
      <c r="H26" s="13" t="s">
        <v>68</v>
      </c>
      <c r="I26" s="13" t="s">
        <v>78</v>
      </c>
      <c r="J26" s="13" t="s">
        <v>277</v>
      </c>
      <c r="K26" s="34" t="s">
        <v>68</v>
      </c>
      <c r="L26" s="35" t="n">
        <v>46237</v>
      </c>
    </row>
    <row r="27" customFormat="false" ht="21.75" hidden="false" customHeight="true" outlineLevel="0" collapsed="false">
      <c r="A27" s="12" t="s">
        <v>296</v>
      </c>
      <c r="B27" s="13" t="s">
        <v>295</v>
      </c>
      <c r="C27" s="13" t="s">
        <v>78</v>
      </c>
      <c r="D27" s="13" t="s">
        <v>78</v>
      </c>
      <c r="E27" s="13" t="s">
        <v>78</v>
      </c>
      <c r="F27" s="13" t="s">
        <v>78</v>
      </c>
      <c r="G27" s="13" t="s">
        <v>68</v>
      </c>
      <c r="H27" s="13" t="s">
        <v>68</v>
      </c>
      <c r="I27" s="13" t="s">
        <v>78</v>
      </c>
      <c r="J27" s="13" t="s">
        <v>277</v>
      </c>
      <c r="K27" s="34" t="s">
        <v>68</v>
      </c>
      <c r="L27" s="35" t="n">
        <v>46220</v>
      </c>
    </row>
    <row r="28" customFormat="false" ht="21.75" hidden="false" customHeight="true" outlineLevel="0" collapsed="false">
      <c r="A28" s="12" t="s">
        <v>297</v>
      </c>
      <c r="B28" s="13" t="s">
        <v>298</v>
      </c>
      <c r="C28" s="13" t="s">
        <v>78</v>
      </c>
      <c r="D28" s="13" t="s">
        <v>78</v>
      </c>
      <c r="E28" s="13" t="s">
        <v>78</v>
      </c>
      <c r="F28" s="13" t="s">
        <v>78</v>
      </c>
      <c r="G28" s="13" t="s">
        <v>78</v>
      </c>
      <c r="H28" s="13" t="s">
        <v>78</v>
      </c>
      <c r="I28" s="13" t="s">
        <v>78</v>
      </c>
      <c r="J28" s="13" t="s">
        <v>272</v>
      </c>
      <c r="K28" s="36" t="s">
        <v>78</v>
      </c>
      <c r="L28" s="35" t="n">
        <v>46234</v>
      </c>
    </row>
    <row r="29" customFormat="false" ht="21.75" hidden="false" customHeight="true" outlineLevel="0" collapsed="false">
      <c r="A29" s="12" t="s">
        <v>299</v>
      </c>
      <c r="B29" s="13" t="s">
        <v>298</v>
      </c>
      <c r="C29" s="13" t="s">
        <v>78</v>
      </c>
      <c r="D29" s="13" t="s">
        <v>78</v>
      </c>
      <c r="E29" s="13" t="s">
        <v>78</v>
      </c>
      <c r="F29" s="13" t="s">
        <v>78</v>
      </c>
      <c r="G29" s="13" t="s">
        <v>78</v>
      </c>
      <c r="H29" s="13" t="s">
        <v>78</v>
      </c>
      <c r="I29" s="13" t="s">
        <v>78</v>
      </c>
      <c r="J29" s="13" t="s">
        <v>272</v>
      </c>
      <c r="K29" s="36" t="s">
        <v>78</v>
      </c>
      <c r="L29" s="35" t="n">
        <v>46234</v>
      </c>
    </row>
    <row r="30" customFormat="false" ht="21.75" hidden="false" customHeight="true" outlineLevel="0" collapsed="false">
      <c r="A30" s="12" t="s">
        <v>300</v>
      </c>
      <c r="B30" s="13" t="s">
        <v>298</v>
      </c>
      <c r="C30" s="13" t="s">
        <v>68</v>
      </c>
      <c r="D30" s="13" t="s">
        <v>68</v>
      </c>
      <c r="E30" s="13" t="s">
        <v>78</v>
      </c>
      <c r="F30" s="13" t="s">
        <v>78</v>
      </c>
      <c r="G30" s="13" t="s">
        <v>68</v>
      </c>
      <c r="H30" s="13" t="s">
        <v>78</v>
      </c>
      <c r="I30" s="13" t="s">
        <v>78</v>
      </c>
      <c r="J30" s="13" t="s">
        <v>277</v>
      </c>
      <c r="K30" s="34" t="s">
        <v>68</v>
      </c>
      <c r="L30" s="35" t="n">
        <v>46234</v>
      </c>
    </row>
    <row r="31" customFormat="false" ht="21.75" hidden="false" customHeight="true" outlineLevel="0" collapsed="false">
      <c r="A31" s="12" t="s">
        <v>301</v>
      </c>
      <c r="B31" s="13" t="s">
        <v>302</v>
      </c>
      <c r="C31" s="13" t="s">
        <v>78</v>
      </c>
      <c r="D31" s="13" t="s">
        <v>78</v>
      </c>
      <c r="E31" s="13" t="s">
        <v>78</v>
      </c>
      <c r="F31" s="13" t="s">
        <v>78</v>
      </c>
      <c r="G31" s="13" t="s">
        <v>78</v>
      </c>
      <c r="H31" s="13" t="s">
        <v>78</v>
      </c>
      <c r="I31" s="13" t="s">
        <v>78</v>
      </c>
      <c r="J31" s="13" t="s">
        <v>272</v>
      </c>
      <c r="K31" s="36" t="s">
        <v>78</v>
      </c>
      <c r="L31" s="35" t="n">
        <v>46231</v>
      </c>
    </row>
    <row r="32" customFormat="false" ht="21.75" hidden="false" customHeight="true" outlineLevel="0" collapsed="false">
      <c r="A32" s="12" t="s">
        <v>303</v>
      </c>
      <c r="B32" s="13" t="s">
        <v>304</v>
      </c>
      <c r="C32" s="13" t="s">
        <v>78</v>
      </c>
      <c r="D32" s="13" t="s">
        <v>78</v>
      </c>
      <c r="E32" s="13" t="s">
        <v>78</v>
      </c>
      <c r="F32" s="13" t="s">
        <v>78</v>
      </c>
      <c r="G32" s="13" t="s">
        <v>78</v>
      </c>
      <c r="H32" s="13" t="s">
        <v>78</v>
      </c>
      <c r="I32" s="13" t="s">
        <v>78</v>
      </c>
      <c r="J32" s="13" t="s">
        <v>272</v>
      </c>
      <c r="K32" s="36" t="s">
        <v>78</v>
      </c>
      <c r="L32" s="35" t="n">
        <v>46208</v>
      </c>
    </row>
    <row r="33" customFormat="false" ht="21.75" hidden="false" customHeight="true" outlineLevel="0" collapsed="false">
      <c r="A33" s="12" t="s">
        <v>305</v>
      </c>
      <c r="B33" s="13" t="s">
        <v>304</v>
      </c>
      <c r="C33" s="13" t="s">
        <v>78</v>
      </c>
      <c r="D33" s="13" t="s">
        <v>78</v>
      </c>
      <c r="E33" s="13" t="s">
        <v>78</v>
      </c>
      <c r="F33" s="13" t="s">
        <v>78</v>
      </c>
      <c r="G33" s="13" t="s">
        <v>78</v>
      </c>
      <c r="H33" s="13" t="s">
        <v>78</v>
      </c>
      <c r="I33" s="13" t="s">
        <v>78</v>
      </c>
      <c r="J33" s="13" t="s">
        <v>272</v>
      </c>
      <c r="K33" s="36" t="s">
        <v>78</v>
      </c>
      <c r="L33" s="35" t="n">
        <v>46206</v>
      </c>
    </row>
    <row r="34" customFormat="false" ht="21.75" hidden="false" customHeight="true" outlineLevel="0" collapsed="false">
      <c r="A34" s="12" t="s">
        <v>306</v>
      </c>
      <c r="B34" s="13" t="s">
        <v>304</v>
      </c>
      <c r="C34" s="13" t="s">
        <v>68</v>
      </c>
      <c r="D34" s="13" t="s">
        <v>68</v>
      </c>
      <c r="E34" s="13" t="s">
        <v>68</v>
      </c>
      <c r="F34" s="13" t="s">
        <v>68</v>
      </c>
      <c r="G34" s="13" t="s">
        <v>68</v>
      </c>
      <c r="H34" s="13" t="s">
        <v>68</v>
      </c>
      <c r="I34" s="13" t="s">
        <v>78</v>
      </c>
      <c r="J34" s="13" t="s">
        <v>307</v>
      </c>
      <c r="K34" s="34" t="s">
        <v>68</v>
      </c>
      <c r="L34" s="35" t="n">
        <v>46212</v>
      </c>
    </row>
    <row r="35" customFormat="false" ht="21.75" hidden="false" customHeight="true" outlineLevel="0" collapsed="false">
      <c r="A35" s="12" t="s">
        <v>308</v>
      </c>
      <c r="B35" s="13" t="s">
        <v>304</v>
      </c>
      <c r="C35" s="13" t="s">
        <v>78</v>
      </c>
      <c r="D35" s="13" t="s">
        <v>78</v>
      </c>
      <c r="E35" s="13" t="s">
        <v>78</v>
      </c>
      <c r="F35" s="13" t="s">
        <v>78</v>
      </c>
      <c r="G35" s="13" t="s">
        <v>78</v>
      </c>
      <c r="H35" s="13" t="s">
        <v>78</v>
      </c>
      <c r="I35" s="13" t="s">
        <v>78</v>
      </c>
      <c r="J35" s="13" t="s">
        <v>272</v>
      </c>
      <c r="K35" s="36" t="s">
        <v>78</v>
      </c>
      <c r="L35" s="35" t="n">
        <v>46237</v>
      </c>
    </row>
    <row r="36" customFormat="false" ht="21.75" hidden="false" customHeight="true" outlineLevel="0" collapsed="false">
      <c r="A36" s="12" t="s">
        <v>309</v>
      </c>
      <c r="B36" s="13" t="s">
        <v>304</v>
      </c>
      <c r="C36" s="13" t="s">
        <v>78</v>
      </c>
      <c r="D36" s="13" t="s">
        <v>78</v>
      </c>
      <c r="E36" s="13" t="s">
        <v>78</v>
      </c>
      <c r="F36" s="13" t="s">
        <v>78</v>
      </c>
      <c r="G36" s="13" t="s">
        <v>78</v>
      </c>
      <c r="H36" s="13" t="s">
        <v>78</v>
      </c>
      <c r="I36" s="13" t="s">
        <v>78</v>
      </c>
      <c r="J36" s="13" t="s">
        <v>272</v>
      </c>
      <c r="K36" s="36" t="s">
        <v>78</v>
      </c>
      <c r="L36" s="35" t="n">
        <v>46206</v>
      </c>
    </row>
    <row r="37" customFormat="false" ht="21.75" hidden="false" customHeight="true" outlineLevel="0" collapsed="false">
      <c r="A37" s="12" t="s">
        <v>310</v>
      </c>
      <c r="B37" s="13" t="s">
        <v>304</v>
      </c>
      <c r="C37" s="13" t="s">
        <v>68</v>
      </c>
      <c r="D37" s="13" t="s">
        <v>68</v>
      </c>
      <c r="E37" s="13" t="s">
        <v>78</v>
      </c>
      <c r="F37" s="13" t="s">
        <v>78</v>
      </c>
      <c r="G37" s="13" t="s">
        <v>68</v>
      </c>
      <c r="H37" s="13" t="s">
        <v>68</v>
      </c>
      <c r="I37" s="13" t="s">
        <v>78</v>
      </c>
      <c r="J37" s="13" t="s">
        <v>290</v>
      </c>
      <c r="K37" s="34" t="s">
        <v>68</v>
      </c>
      <c r="L37" s="35" t="n">
        <v>46237</v>
      </c>
    </row>
    <row r="38" customFormat="false" ht="21.75" hidden="false" customHeight="true" outlineLevel="0" collapsed="false">
      <c r="A38" s="12" t="s">
        <v>311</v>
      </c>
      <c r="B38" s="13" t="s">
        <v>304</v>
      </c>
      <c r="C38" s="13" t="s">
        <v>78</v>
      </c>
      <c r="D38" s="13" t="s">
        <v>78</v>
      </c>
      <c r="E38" s="13" t="s">
        <v>68</v>
      </c>
      <c r="F38" s="13" t="s">
        <v>78</v>
      </c>
      <c r="G38" s="13" t="s">
        <v>68</v>
      </c>
      <c r="H38" s="13" t="s">
        <v>68</v>
      </c>
      <c r="I38" s="13" t="s">
        <v>78</v>
      </c>
      <c r="J38" s="13" t="s">
        <v>290</v>
      </c>
      <c r="K38" s="34" t="s">
        <v>68</v>
      </c>
      <c r="L38" s="35" t="n">
        <v>46212</v>
      </c>
    </row>
    <row r="39" customFormat="false" ht="21.75" hidden="false" customHeight="true" outlineLevel="0" collapsed="false">
      <c r="A39" s="12" t="s">
        <v>312</v>
      </c>
      <c r="B39" s="13" t="s">
        <v>304</v>
      </c>
      <c r="C39" s="13" t="s">
        <v>78</v>
      </c>
      <c r="D39" s="13" t="s">
        <v>78</v>
      </c>
      <c r="E39" s="13" t="s">
        <v>78</v>
      </c>
      <c r="F39" s="13" t="s">
        <v>78</v>
      </c>
      <c r="G39" s="13" t="s">
        <v>78</v>
      </c>
      <c r="H39" s="13" t="s">
        <v>68</v>
      </c>
      <c r="I39" s="13" t="s">
        <v>78</v>
      </c>
      <c r="J39" s="13" t="s">
        <v>270</v>
      </c>
      <c r="K39" s="34" t="s">
        <v>68</v>
      </c>
      <c r="L39" s="35" t="n">
        <v>46211</v>
      </c>
    </row>
    <row r="40" customFormat="false" ht="21.75" hidden="false" customHeight="true" outlineLevel="0" collapsed="false">
      <c r="A40" s="12" t="s">
        <v>313</v>
      </c>
      <c r="B40" s="13" t="s">
        <v>304</v>
      </c>
      <c r="C40" s="13" t="s">
        <v>78</v>
      </c>
      <c r="D40" s="13" t="s">
        <v>78</v>
      </c>
      <c r="E40" s="13" t="s">
        <v>68</v>
      </c>
      <c r="F40" s="13" t="s">
        <v>68</v>
      </c>
      <c r="G40" s="13" t="s">
        <v>68</v>
      </c>
      <c r="H40" s="13" t="s">
        <v>78</v>
      </c>
      <c r="I40" s="13" t="s">
        <v>78</v>
      </c>
      <c r="J40" s="13" t="s">
        <v>290</v>
      </c>
      <c r="K40" s="34" t="s">
        <v>68</v>
      </c>
      <c r="L40" s="35" t="n">
        <v>46237</v>
      </c>
    </row>
    <row r="41" customFormat="false" ht="21.75" hidden="false" customHeight="true" outlineLevel="0" collapsed="false">
      <c r="A41" s="12" t="s">
        <v>314</v>
      </c>
      <c r="B41" s="13" t="s">
        <v>304</v>
      </c>
      <c r="C41" s="13" t="s">
        <v>68</v>
      </c>
      <c r="D41" s="13" t="s">
        <v>68</v>
      </c>
      <c r="E41" s="13" t="s">
        <v>68</v>
      </c>
      <c r="F41" s="13" t="s">
        <v>68</v>
      </c>
      <c r="G41" s="13" t="s">
        <v>68</v>
      </c>
      <c r="H41" s="13" t="s">
        <v>68</v>
      </c>
      <c r="I41" s="13" t="s">
        <v>68</v>
      </c>
      <c r="J41" s="13" t="s">
        <v>283</v>
      </c>
      <c r="K41" s="34" t="s">
        <v>68</v>
      </c>
      <c r="L41" s="35" t="n">
        <v>46206</v>
      </c>
    </row>
    <row r="42" customFormat="false" ht="21.75" hidden="false" customHeight="true" outlineLevel="0" collapsed="false">
      <c r="A42" s="12" t="s">
        <v>315</v>
      </c>
      <c r="B42" s="13" t="s">
        <v>304</v>
      </c>
      <c r="C42" s="13" t="s">
        <v>68</v>
      </c>
      <c r="D42" s="13" t="s">
        <v>68</v>
      </c>
      <c r="E42" s="13" t="s">
        <v>68</v>
      </c>
      <c r="F42" s="13" t="s">
        <v>68</v>
      </c>
      <c r="G42" s="13" t="s">
        <v>68</v>
      </c>
      <c r="H42" s="13" t="s">
        <v>68</v>
      </c>
      <c r="I42" s="13" t="s">
        <v>68</v>
      </c>
      <c r="J42" s="13" t="s">
        <v>283</v>
      </c>
      <c r="K42" s="34" t="s">
        <v>68</v>
      </c>
      <c r="L42" s="35" t="n">
        <v>46206</v>
      </c>
    </row>
    <row r="43" customFormat="false" ht="21.75" hidden="false" customHeight="true" outlineLevel="0" collapsed="false">
      <c r="A43" s="12" t="s">
        <v>316</v>
      </c>
      <c r="B43" s="13" t="s">
        <v>80</v>
      </c>
      <c r="C43" s="13" t="s">
        <v>78</v>
      </c>
      <c r="D43" s="13" t="s">
        <v>78</v>
      </c>
      <c r="E43" s="13" t="s">
        <v>78</v>
      </c>
      <c r="F43" s="13" t="s">
        <v>78</v>
      </c>
      <c r="G43" s="13" t="s">
        <v>68</v>
      </c>
      <c r="H43" s="13" t="s">
        <v>78</v>
      </c>
      <c r="I43" s="13" t="s">
        <v>68</v>
      </c>
      <c r="J43" s="13" t="s">
        <v>277</v>
      </c>
      <c r="K43" s="34" t="s">
        <v>68</v>
      </c>
      <c r="L43" s="35" t="n">
        <v>46211</v>
      </c>
    </row>
    <row r="44" customFormat="false" ht="21.75" hidden="false" customHeight="true" outlineLevel="0" collapsed="false">
      <c r="A44" s="12" t="s">
        <v>82</v>
      </c>
      <c r="B44" s="13" t="s">
        <v>80</v>
      </c>
      <c r="C44" s="13" t="s">
        <v>78</v>
      </c>
      <c r="D44" s="13" t="s">
        <v>78</v>
      </c>
      <c r="E44" s="13" t="s">
        <v>78</v>
      </c>
      <c r="F44" s="13" t="s">
        <v>78</v>
      </c>
      <c r="G44" s="13" t="s">
        <v>68</v>
      </c>
      <c r="H44" s="13" t="s">
        <v>78</v>
      </c>
      <c r="I44" s="13" t="s">
        <v>68</v>
      </c>
      <c r="J44" s="13" t="s">
        <v>277</v>
      </c>
      <c r="K44" s="34" t="s">
        <v>68</v>
      </c>
      <c r="L44" s="35" t="n">
        <v>46211</v>
      </c>
    </row>
    <row r="45" customFormat="false" ht="21.75" hidden="false" customHeight="true" outlineLevel="0" collapsed="false">
      <c r="A45" s="12" t="s">
        <v>317</v>
      </c>
      <c r="B45" s="13" t="s">
        <v>318</v>
      </c>
      <c r="C45" s="13" t="s">
        <v>78</v>
      </c>
      <c r="D45" s="13" t="s">
        <v>78</v>
      </c>
      <c r="E45" s="13" t="s">
        <v>78</v>
      </c>
      <c r="F45" s="13" t="s">
        <v>78</v>
      </c>
      <c r="G45" s="13" t="s">
        <v>78</v>
      </c>
      <c r="H45" s="13" t="s">
        <v>78</v>
      </c>
      <c r="I45" s="13" t="s">
        <v>78</v>
      </c>
      <c r="J45" s="13" t="s">
        <v>272</v>
      </c>
      <c r="K45" s="36" t="s">
        <v>78</v>
      </c>
      <c r="L45" s="35" t="n">
        <v>46206</v>
      </c>
    </row>
    <row r="46" customFormat="false" ht="21.75" hidden="false" customHeight="true" outlineLevel="0" collapsed="false">
      <c r="A46" s="12" t="s">
        <v>319</v>
      </c>
      <c r="B46" s="13" t="s">
        <v>318</v>
      </c>
      <c r="C46" s="13" t="s">
        <v>78</v>
      </c>
      <c r="D46" s="13" t="s">
        <v>78</v>
      </c>
      <c r="E46" s="13" t="s">
        <v>78</v>
      </c>
      <c r="F46" s="13" t="s">
        <v>78</v>
      </c>
      <c r="G46" s="13" t="s">
        <v>78</v>
      </c>
      <c r="H46" s="13" t="s">
        <v>78</v>
      </c>
      <c r="I46" s="13" t="s">
        <v>78</v>
      </c>
      <c r="J46" s="13" t="s">
        <v>272</v>
      </c>
      <c r="K46" s="36" t="s">
        <v>78</v>
      </c>
      <c r="L46" s="35" t="n">
        <v>46237</v>
      </c>
    </row>
    <row r="47" customFormat="false" ht="21.75" hidden="false" customHeight="true" outlineLevel="0" collapsed="false">
      <c r="A47" s="12" t="s">
        <v>320</v>
      </c>
      <c r="B47" s="13" t="s">
        <v>318</v>
      </c>
      <c r="C47" s="13" t="s">
        <v>68</v>
      </c>
      <c r="D47" s="13" t="s">
        <v>68</v>
      </c>
      <c r="E47" s="13" t="s">
        <v>78</v>
      </c>
      <c r="F47" s="13" t="s">
        <v>78</v>
      </c>
      <c r="G47" s="13" t="s">
        <v>68</v>
      </c>
      <c r="H47" s="13" t="s">
        <v>68</v>
      </c>
      <c r="I47" s="13" t="s">
        <v>78</v>
      </c>
      <c r="J47" s="13" t="s">
        <v>290</v>
      </c>
      <c r="K47" s="34" t="s">
        <v>68</v>
      </c>
      <c r="L47" s="35" t="n">
        <v>46234</v>
      </c>
    </row>
    <row r="48" customFormat="false" ht="21.75" hidden="false" customHeight="true" outlineLevel="0" collapsed="false">
      <c r="A48" s="12" t="s">
        <v>321</v>
      </c>
      <c r="B48" s="13" t="s">
        <v>105</v>
      </c>
      <c r="C48" s="13" t="s">
        <v>78</v>
      </c>
      <c r="D48" s="13" t="s">
        <v>78</v>
      </c>
      <c r="E48" s="13" t="s">
        <v>68</v>
      </c>
      <c r="F48" s="13" t="s">
        <v>78</v>
      </c>
      <c r="G48" s="13" t="s">
        <v>68</v>
      </c>
      <c r="H48" s="13" t="s">
        <v>68</v>
      </c>
      <c r="I48" s="13" t="s">
        <v>78</v>
      </c>
      <c r="J48" s="13" t="s">
        <v>290</v>
      </c>
      <c r="K48" s="34" t="s">
        <v>68</v>
      </c>
      <c r="L48" s="35" t="n">
        <v>46211</v>
      </c>
    </row>
    <row r="49" customFormat="false" ht="21.75" hidden="false" customHeight="true" outlineLevel="0" collapsed="false">
      <c r="A49" s="12" t="s">
        <v>322</v>
      </c>
      <c r="B49" s="13" t="s">
        <v>105</v>
      </c>
      <c r="C49" s="13" t="s">
        <v>68</v>
      </c>
      <c r="D49" s="13" t="s">
        <v>68</v>
      </c>
      <c r="E49" s="13" t="s">
        <v>68</v>
      </c>
      <c r="F49" s="13" t="s">
        <v>78</v>
      </c>
      <c r="G49" s="13" t="s">
        <v>68</v>
      </c>
      <c r="H49" s="13" t="s">
        <v>68</v>
      </c>
      <c r="I49" s="13" t="s">
        <v>68</v>
      </c>
      <c r="J49" s="13" t="s">
        <v>307</v>
      </c>
      <c r="K49" s="34" t="s">
        <v>68</v>
      </c>
      <c r="L49" s="35" t="n">
        <v>46232</v>
      </c>
    </row>
    <row r="50" customFormat="false" ht="21.75" hidden="false" customHeight="true" outlineLevel="0" collapsed="false">
      <c r="A50" s="12" t="s">
        <v>323</v>
      </c>
      <c r="B50" s="13" t="s">
        <v>105</v>
      </c>
      <c r="C50" s="13" t="s">
        <v>78</v>
      </c>
      <c r="D50" s="13" t="s">
        <v>78</v>
      </c>
      <c r="E50" s="13" t="s">
        <v>68</v>
      </c>
      <c r="F50" s="13" t="s">
        <v>78</v>
      </c>
      <c r="G50" s="13" t="s">
        <v>68</v>
      </c>
      <c r="H50" s="13" t="s">
        <v>68</v>
      </c>
      <c r="I50" s="13" t="s">
        <v>68</v>
      </c>
      <c r="J50" s="13" t="s">
        <v>274</v>
      </c>
      <c r="K50" s="34" t="s">
        <v>68</v>
      </c>
      <c r="L50" s="35" t="n">
        <v>46232</v>
      </c>
    </row>
    <row r="51" customFormat="false" ht="21.75" hidden="false" customHeight="true" outlineLevel="0" collapsed="false">
      <c r="A51" s="12" t="s">
        <v>324</v>
      </c>
      <c r="B51" s="13" t="s">
        <v>325</v>
      </c>
      <c r="C51" s="13" t="s">
        <v>78</v>
      </c>
      <c r="D51" s="13" t="s">
        <v>78</v>
      </c>
      <c r="E51" s="13" t="s">
        <v>78</v>
      </c>
      <c r="F51" s="13" t="s">
        <v>78</v>
      </c>
      <c r="G51" s="13" t="s">
        <v>68</v>
      </c>
      <c r="H51" s="13" t="s">
        <v>68</v>
      </c>
      <c r="I51" s="13" t="s">
        <v>78</v>
      </c>
      <c r="J51" s="13" t="s">
        <v>277</v>
      </c>
      <c r="K51" s="34" t="s">
        <v>68</v>
      </c>
      <c r="L51" s="35" t="n">
        <v>46212</v>
      </c>
    </row>
    <row r="52" customFormat="false" ht="21.75" hidden="false" customHeight="true" outlineLevel="0" collapsed="false">
      <c r="A52" s="12" t="s">
        <v>326</v>
      </c>
      <c r="B52" s="13" t="s">
        <v>325</v>
      </c>
      <c r="C52" s="13" t="s">
        <v>68</v>
      </c>
      <c r="D52" s="13" t="s">
        <v>68</v>
      </c>
      <c r="E52" s="13" t="s">
        <v>68</v>
      </c>
      <c r="F52" s="13" t="s">
        <v>78</v>
      </c>
      <c r="G52" s="13" t="s">
        <v>78</v>
      </c>
      <c r="H52" s="13" t="s">
        <v>68</v>
      </c>
      <c r="I52" s="13" t="s">
        <v>68</v>
      </c>
      <c r="J52" s="13" t="s">
        <v>274</v>
      </c>
      <c r="K52" s="34" t="s">
        <v>68</v>
      </c>
      <c r="L52" s="35" t="n">
        <v>46212</v>
      </c>
    </row>
    <row r="53" customFormat="false" ht="21.75" hidden="false" customHeight="true" outlineLevel="0" collapsed="false">
      <c r="A53" s="12" t="s">
        <v>327</v>
      </c>
      <c r="B53" s="13" t="s">
        <v>325</v>
      </c>
      <c r="C53" s="13" t="s">
        <v>68</v>
      </c>
      <c r="D53" s="13" t="s">
        <v>68</v>
      </c>
      <c r="E53" s="13" t="s">
        <v>68</v>
      </c>
      <c r="F53" s="13" t="s">
        <v>78</v>
      </c>
      <c r="G53" s="13" t="s">
        <v>68</v>
      </c>
      <c r="H53" s="13" t="s">
        <v>68</v>
      </c>
      <c r="I53" s="13" t="s">
        <v>78</v>
      </c>
      <c r="J53" s="13" t="s">
        <v>274</v>
      </c>
      <c r="K53" s="34" t="s">
        <v>68</v>
      </c>
      <c r="L53" s="35" t="n">
        <v>46212</v>
      </c>
    </row>
    <row r="54" customFormat="false" ht="21.75" hidden="false" customHeight="true" outlineLevel="0" collapsed="false">
      <c r="A54" s="12" t="s">
        <v>328</v>
      </c>
      <c r="B54" s="13" t="s">
        <v>329</v>
      </c>
      <c r="C54" s="13" t="s">
        <v>78</v>
      </c>
      <c r="D54" s="13" t="s">
        <v>78</v>
      </c>
      <c r="E54" s="13" t="s">
        <v>78</v>
      </c>
      <c r="F54" s="13" t="s">
        <v>78</v>
      </c>
      <c r="G54" s="13" t="s">
        <v>68</v>
      </c>
      <c r="H54" s="13" t="s">
        <v>68</v>
      </c>
      <c r="I54" s="13" t="s">
        <v>78</v>
      </c>
      <c r="J54" s="13" t="s">
        <v>277</v>
      </c>
      <c r="K54" s="34" t="s">
        <v>68</v>
      </c>
      <c r="L54" s="35" t="n">
        <v>46233</v>
      </c>
    </row>
    <row r="56" customFormat="false" ht="15" hidden="false" customHeight="true" outlineLevel="0" collapsed="false">
      <c r="A56" s="37" t="s">
        <v>330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</row>
    <row r="57" customFormat="false" ht="15" hidden="false" customHeight="true" outlineLevel="0" collapsed="false">
      <c r="A57" s="38" t="s">
        <v>331</v>
      </c>
      <c r="B57" s="38"/>
    </row>
    <row r="58" customFormat="false" ht="15" hidden="false" customHeight="true" outlineLevel="0" collapsed="false">
      <c r="A58" s="38" t="s">
        <v>332</v>
      </c>
      <c r="B58" s="38" t="s">
        <v>333</v>
      </c>
    </row>
    <row r="59" customFormat="false" ht="15" hidden="false" customHeight="true" outlineLevel="0" collapsed="false">
      <c r="A59" s="38" t="s">
        <v>334</v>
      </c>
      <c r="B59" s="38"/>
    </row>
    <row r="60" customFormat="false" ht="15" hidden="false" customHeight="true" outlineLevel="0" collapsed="false">
      <c r="A60" s="38" t="s">
        <v>335</v>
      </c>
      <c r="B60" s="38" t="s">
        <v>336</v>
      </c>
    </row>
    <row r="61" customFormat="false" ht="15" hidden="false" customHeight="true" outlineLevel="0" collapsed="false">
      <c r="A61" s="38" t="s">
        <v>337</v>
      </c>
      <c r="B61" s="38" t="s">
        <v>338</v>
      </c>
    </row>
    <row r="62" customFormat="false" ht="15" hidden="false" customHeight="true" outlineLevel="0" collapsed="false">
      <c r="A62" s="38" t="s">
        <v>339</v>
      </c>
      <c r="B62" s="38" t="s">
        <v>340</v>
      </c>
    </row>
    <row r="63" customFormat="false" ht="15" hidden="false" customHeight="true" outlineLevel="0" collapsed="false">
      <c r="A63" s="38" t="s">
        <v>341</v>
      </c>
      <c r="B63" s="38" t="s">
        <v>342</v>
      </c>
    </row>
    <row r="64" customFormat="false" ht="15" hidden="false" customHeight="true" outlineLevel="0" collapsed="false">
      <c r="A64" s="38" t="s">
        <v>343</v>
      </c>
      <c r="B64" s="38" t="s">
        <v>344</v>
      </c>
    </row>
  </sheetData>
  <mergeCells count="3">
    <mergeCell ref="A1:L1"/>
    <mergeCell ref="A2:L2"/>
    <mergeCell ref="A56:L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4" min="3" style="1" width="7"/>
    <col collapsed="false" customWidth="true" hidden="false" outlineLevel="0" max="5" min="5" style="1" width="8"/>
    <col collapsed="false" customWidth="true" hidden="false" outlineLevel="0" max="6" min="6" style="1" width="7"/>
    <col collapsed="false" customWidth="true" hidden="false" outlineLevel="0" max="7" min="7" style="1" width="9"/>
    <col collapsed="false" customWidth="true" hidden="false" outlineLevel="0" max="8" min="8" style="1" width="8"/>
    <col collapsed="false" customWidth="true" hidden="false" outlineLevel="0" max="9" min="9" style="1" width="9"/>
    <col collapsed="false" customWidth="true" hidden="false" outlineLevel="0" max="10" min="10" style="1" width="11"/>
    <col collapsed="false" customWidth="true" hidden="false" outlineLevel="0" max="11" min="11" style="1" width="13"/>
    <col collapsed="false" customWidth="true" hidden="false" outlineLevel="0" max="12" min="12" style="1" width="26"/>
  </cols>
  <sheetData>
    <row r="1" customFormat="false" ht="27.75" hidden="false" customHeight="true" outlineLevel="0" collapsed="false">
      <c r="A1" s="31" t="s">
        <v>345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customFormat="false" ht="15" hidden="false" customHeight="true" outlineLevel="0" collapsed="false">
      <c r="A2" s="33" t="s">
        <v>346</v>
      </c>
      <c r="B2" s="33" t="s">
        <v>260</v>
      </c>
      <c r="C2" s="33" t="s">
        <v>347</v>
      </c>
      <c r="D2" s="33" t="s">
        <v>348</v>
      </c>
      <c r="E2" s="33" t="s">
        <v>349</v>
      </c>
      <c r="F2" s="33" t="s">
        <v>350</v>
      </c>
      <c r="G2" s="33" t="s">
        <v>351</v>
      </c>
      <c r="H2" s="33" t="s">
        <v>352</v>
      </c>
      <c r="I2" s="33" t="s">
        <v>353</v>
      </c>
      <c r="J2" s="33" t="s">
        <v>354</v>
      </c>
      <c r="K2" s="33" t="s">
        <v>267</v>
      </c>
      <c r="L2" s="33" t="s">
        <v>355</v>
      </c>
    </row>
    <row r="3" customFormat="false" ht="19.5" hidden="false" customHeight="true" outlineLevel="0" collapsed="false">
      <c r="A3" s="13" t="s">
        <v>291</v>
      </c>
      <c r="B3" s="13" t="s">
        <v>65</v>
      </c>
      <c r="C3" s="39" t="s">
        <v>283</v>
      </c>
      <c r="D3" s="39" t="n">
        <v>6</v>
      </c>
      <c r="E3" s="40" t="s">
        <v>356</v>
      </c>
      <c r="F3" s="40" t="s">
        <v>356</v>
      </c>
      <c r="G3" s="40" t="s">
        <v>356</v>
      </c>
      <c r="H3" s="40" t="s">
        <v>356</v>
      </c>
      <c r="I3" s="40" t="s">
        <v>356</v>
      </c>
      <c r="J3" s="40" t="s">
        <v>356</v>
      </c>
      <c r="K3" s="39" t="s">
        <v>68</v>
      </c>
      <c r="L3" s="12" t="s">
        <v>357</v>
      </c>
    </row>
    <row r="4" customFormat="false" ht="19.5" hidden="false" customHeight="true" outlineLevel="0" collapsed="false">
      <c r="A4" s="13" t="s">
        <v>292</v>
      </c>
      <c r="B4" s="13" t="s">
        <v>65</v>
      </c>
      <c r="C4" s="39" t="s">
        <v>283</v>
      </c>
      <c r="D4" s="39" t="n">
        <v>6</v>
      </c>
      <c r="E4" s="40" t="s">
        <v>356</v>
      </c>
      <c r="F4" s="40" t="s">
        <v>356</v>
      </c>
      <c r="G4" s="40" t="s">
        <v>356</v>
      </c>
      <c r="H4" s="40" t="s">
        <v>356</v>
      </c>
      <c r="I4" s="40" t="s">
        <v>356</v>
      </c>
      <c r="J4" s="40" t="s">
        <v>356</v>
      </c>
      <c r="K4" s="39" t="s">
        <v>68</v>
      </c>
      <c r="L4" s="12" t="s">
        <v>357</v>
      </c>
    </row>
    <row r="5" customFormat="false" ht="19.5" hidden="false" customHeight="true" outlineLevel="0" collapsed="false">
      <c r="A5" s="13" t="s">
        <v>282</v>
      </c>
      <c r="B5" s="13" t="s">
        <v>65</v>
      </c>
      <c r="C5" s="39" t="s">
        <v>283</v>
      </c>
      <c r="D5" s="39" t="n">
        <v>6</v>
      </c>
      <c r="E5" s="40" t="s">
        <v>356</v>
      </c>
      <c r="F5" s="40" t="s">
        <v>356</v>
      </c>
      <c r="G5" s="40" t="s">
        <v>356</v>
      </c>
      <c r="H5" s="40" t="s">
        <v>356</v>
      </c>
      <c r="I5" s="40" t="s">
        <v>356</v>
      </c>
      <c r="J5" s="40" t="s">
        <v>356</v>
      </c>
      <c r="K5" s="39" t="s">
        <v>68</v>
      </c>
      <c r="L5" s="12" t="s">
        <v>357</v>
      </c>
    </row>
    <row r="6" customFormat="false" ht="19.5" hidden="false" customHeight="true" outlineLevel="0" collapsed="false">
      <c r="A6" s="13" t="s">
        <v>315</v>
      </c>
      <c r="B6" s="13" t="s">
        <v>304</v>
      </c>
      <c r="C6" s="39" t="s">
        <v>283</v>
      </c>
      <c r="D6" s="39" t="n">
        <v>6</v>
      </c>
      <c r="E6" s="40" t="s">
        <v>356</v>
      </c>
      <c r="F6" s="40" t="s">
        <v>356</v>
      </c>
      <c r="G6" s="40" t="s">
        <v>356</v>
      </c>
      <c r="H6" s="40" t="s">
        <v>356</v>
      </c>
      <c r="I6" s="40" t="s">
        <v>356</v>
      </c>
      <c r="J6" s="40" t="s">
        <v>356</v>
      </c>
      <c r="K6" s="39" t="s">
        <v>68</v>
      </c>
      <c r="L6" s="12" t="s">
        <v>357</v>
      </c>
    </row>
    <row r="7" customFormat="false" ht="19.5" hidden="false" customHeight="true" outlineLevel="0" collapsed="false">
      <c r="A7" s="13" t="s">
        <v>314</v>
      </c>
      <c r="B7" s="13" t="s">
        <v>304</v>
      </c>
      <c r="C7" s="39" t="s">
        <v>283</v>
      </c>
      <c r="D7" s="39" t="n">
        <v>6</v>
      </c>
      <c r="E7" s="40" t="s">
        <v>356</v>
      </c>
      <c r="F7" s="40" t="s">
        <v>356</v>
      </c>
      <c r="G7" s="40" t="s">
        <v>356</v>
      </c>
      <c r="H7" s="40" t="s">
        <v>356</v>
      </c>
      <c r="I7" s="40" t="s">
        <v>356</v>
      </c>
      <c r="J7" s="40" t="s">
        <v>356</v>
      </c>
      <c r="K7" s="39" t="s">
        <v>68</v>
      </c>
      <c r="L7" s="12" t="s">
        <v>357</v>
      </c>
    </row>
    <row r="8" customFormat="false" ht="19.5" hidden="false" customHeight="true" outlineLevel="0" collapsed="false">
      <c r="A8" s="13" t="s">
        <v>306</v>
      </c>
      <c r="B8" s="13" t="s">
        <v>304</v>
      </c>
      <c r="C8" s="39" t="s">
        <v>283</v>
      </c>
      <c r="D8" s="39" t="n">
        <v>6</v>
      </c>
      <c r="E8" s="40" t="s">
        <v>356</v>
      </c>
      <c r="F8" s="40" t="s">
        <v>356</v>
      </c>
      <c r="G8" s="40" t="s">
        <v>356</v>
      </c>
      <c r="H8" s="40" t="s">
        <v>356</v>
      </c>
      <c r="I8" s="40" t="s">
        <v>356</v>
      </c>
      <c r="J8" s="40" t="s">
        <v>356</v>
      </c>
      <c r="K8" s="39" t="s">
        <v>68</v>
      </c>
      <c r="L8" s="12" t="s">
        <v>357</v>
      </c>
    </row>
    <row r="9" customFormat="false" ht="19.5" hidden="false" customHeight="true" outlineLevel="0" collapsed="false">
      <c r="A9" s="13" t="s">
        <v>288</v>
      </c>
      <c r="B9" s="13" t="s">
        <v>65</v>
      </c>
      <c r="C9" s="39" t="s">
        <v>307</v>
      </c>
      <c r="D9" s="39" t="n">
        <v>5</v>
      </c>
      <c r="E9" s="40" t="s">
        <v>356</v>
      </c>
      <c r="F9" s="40" t="s">
        <v>356</v>
      </c>
      <c r="G9" s="40" t="s">
        <v>356</v>
      </c>
      <c r="H9" s="40" t="s">
        <v>356</v>
      </c>
      <c r="I9" s="41" t="s">
        <v>358</v>
      </c>
      <c r="J9" s="40" t="s">
        <v>356</v>
      </c>
      <c r="K9" s="39" t="s">
        <v>68</v>
      </c>
      <c r="L9" s="12" t="s">
        <v>357</v>
      </c>
    </row>
    <row r="10" customFormat="false" ht="19.5" hidden="false" customHeight="true" outlineLevel="0" collapsed="false">
      <c r="A10" s="13" t="s">
        <v>322</v>
      </c>
      <c r="B10" s="13" t="s">
        <v>105</v>
      </c>
      <c r="C10" s="39" t="s">
        <v>307</v>
      </c>
      <c r="D10" s="39" t="n">
        <v>5</v>
      </c>
      <c r="E10" s="40" t="s">
        <v>356</v>
      </c>
      <c r="F10" s="40" t="s">
        <v>356</v>
      </c>
      <c r="G10" s="40" t="s">
        <v>356</v>
      </c>
      <c r="H10" s="40" t="s">
        <v>356</v>
      </c>
      <c r="I10" s="41" t="s">
        <v>358</v>
      </c>
      <c r="J10" s="40" t="s">
        <v>356</v>
      </c>
      <c r="K10" s="39" t="s">
        <v>68</v>
      </c>
      <c r="L10" s="12" t="s">
        <v>357</v>
      </c>
    </row>
    <row r="11" customFormat="false" ht="19.5" hidden="false" customHeight="true" outlineLevel="0" collapsed="false">
      <c r="A11" s="13" t="s">
        <v>327</v>
      </c>
      <c r="B11" s="13" t="s">
        <v>325</v>
      </c>
      <c r="C11" s="39" t="s">
        <v>307</v>
      </c>
      <c r="D11" s="39" t="n">
        <v>5</v>
      </c>
      <c r="E11" s="40" t="s">
        <v>356</v>
      </c>
      <c r="F11" s="40" t="s">
        <v>356</v>
      </c>
      <c r="G11" s="40" t="s">
        <v>356</v>
      </c>
      <c r="H11" s="40" t="s">
        <v>356</v>
      </c>
      <c r="I11" s="41" t="s">
        <v>358</v>
      </c>
      <c r="J11" s="40" t="s">
        <v>356</v>
      </c>
      <c r="K11" s="39" t="s">
        <v>68</v>
      </c>
      <c r="L11" s="12" t="s">
        <v>357</v>
      </c>
    </row>
    <row r="12" customFormat="false" ht="19.5" hidden="false" customHeight="true" outlineLevel="0" collapsed="false">
      <c r="A12" s="13" t="s">
        <v>273</v>
      </c>
      <c r="B12" s="13"/>
      <c r="C12" s="39" t="s">
        <v>274</v>
      </c>
      <c r="D12" s="39" t="n">
        <v>4</v>
      </c>
      <c r="E12" s="40" t="s">
        <v>356</v>
      </c>
      <c r="F12" s="40" t="s">
        <v>356</v>
      </c>
      <c r="G12" s="40" t="s">
        <v>356</v>
      </c>
      <c r="H12" s="41" t="s">
        <v>358</v>
      </c>
      <c r="I12" s="41" t="s">
        <v>358</v>
      </c>
      <c r="J12" s="40" t="s">
        <v>356</v>
      </c>
      <c r="K12" s="39" t="s">
        <v>68</v>
      </c>
      <c r="L12" s="12" t="s">
        <v>357</v>
      </c>
    </row>
    <row r="13" customFormat="false" ht="19.5" hidden="false" customHeight="true" outlineLevel="0" collapsed="false">
      <c r="A13" s="13" t="s">
        <v>294</v>
      </c>
      <c r="B13" s="13" t="s">
        <v>65</v>
      </c>
      <c r="C13" s="39" t="s">
        <v>274</v>
      </c>
      <c r="D13" s="39" t="n">
        <v>4</v>
      </c>
      <c r="E13" s="40" t="s">
        <v>356</v>
      </c>
      <c r="F13" s="40" t="s">
        <v>356</v>
      </c>
      <c r="G13" s="40" t="s">
        <v>356</v>
      </c>
      <c r="H13" s="40" t="s">
        <v>356</v>
      </c>
      <c r="I13" s="41" t="s">
        <v>358</v>
      </c>
      <c r="J13" s="41" t="s">
        <v>358</v>
      </c>
      <c r="K13" s="39" t="s">
        <v>68</v>
      </c>
      <c r="L13" s="12" t="s">
        <v>357</v>
      </c>
    </row>
    <row r="14" customFormat="false" ht="19.5" hidden="false" customHeight="true" outlineLevel="0" collapsed="false">
      <c r="A14" s="13" t="s">
        <v>289</v>
      </c>
      <c r="B14" s="13" t="s">
        <v>65</v>
      </c>
      <c r="C14" s="39" t="s">
        <v>274</v>
      </c>
      <c r="D14" s="39" t="n">
        <v>4</v>
      </c>
      <c r="E14" s="40" t="s">
        <v>356</v>
      </c>
      <c r="F14" s="40" t="s">
        <v>356</v>
      </c>
      <c r="G14" s="40" t="s">
        <v>356</v>
      </c>
      <c r="H14" s="41" t="s">
        <v>358</v>
      </c>
      <c r="I14" s="41" t="s">
        <v>358</v>
      </c>
      <c r="J14" s="40" t="s">
        <v>356</v>
      </c>
      <c r="K14" s="39" t="s">
        <v>68</v>
      </c>
      <c r="L14" s="12" t="s">
        <v>357</v>
      </c>
    </row>
    <row r="15" customFormat="false" ht="19.5" hidden="false" customHeight="true" outlineLevel="0" collapsed="false">
      <c r="A15" s="13" t="s">
        <v>310</v>
      </c>
      <c r="B15" s="13" t="s">
        <v>304</v>
      </c>
      <c r="C15" s="39" t="s">
        <v>274</v>
      </c>
      <c r="D15" s="39" t="n">
        <v>4</v>
      </c>
      <c r="E15" s="40" t="s">
        <v>356</v>
      </c>
      <c r="F15" s="40" t="s">
        <v>356</v>
      </c>
      <c r="G15" s="40" t="s">
        <v>356</v>
      </c>
      <c r="H15" s="41" t="s">
        <v>358</v>
      </c>
      <c r="I15" s="41" t="s">
        <v>358</v>
      </c>
      <c r="J15" s="40" t="s">
        <v>356</v>
      </c>
      <c r="K15" s="39" t="s">
        <v>68</v>
      </c>
      <c r="L15" s="12" t="s">
        <v>357</v>
      </c>
    </row>
    <row r="16" customFormat="false" ht="19.5" hidden="false" customHeight="true" outlineLevel="0" collapsed="false">
      <c r="A16" s="13" t="s">
        <v>320</v>
      </c>
      <c r="B16" s="13" t="s">
        <v>318</v>
      </c>
      <c r="C16" s="39" t="s">
        <v>274</v>
      </c>
      <c r="D16" s="39" t="n">
        <v>4</v>
      </c>
      <c r="E16" s="40" t="s">
        <v>356</v>
      </c>
      <c r="F16" s="40" t="s">
        <v>356</v>
      </c>
      <c r="G16" s="40" t="s">
        <v>356</v>
      </c>
      <c r="H16" s="41" t="s">
        <v>358</v>
      </c>
      <c r="I16" s="41" t="s">
        <v>358</v>
      </c>
      <c r="J16" s="40" t="s">
        <v>356</v>
      </c>
      <c r="K16" s="39" t="s">
        <v>68</v>
      </c>
      <c r="L16" s="12" t="s">
        <v>357</v>
      </c>
    </row>
    <row r="17" customFormat="false" ht="19.5" hidden="false" customHeight="true" outlineLevel="0" collapsed="false">
      <c r="A17" s="13" t="s">
        <v>326</v>
      </c>
      <c r="B17" s="13" t="s">
        <v>325</v>
      </c>
      <c r="C17" s="39" t="s">
        <v>274</v>
      </c>
      <c r="D17" s="39" t="n">
        <v>4</v>
      </c>
      <c r="E17" s="40" t="s">
        <v>356</v>
      </c>
      <c r="F17" s="40" t="s">
        <v>356</v>
      </c>
      <c r="G17" s="40" t="s">
        <v>356</v>
      </c>
      <c r="H17" s="40" t="s">
        <v>356</v>
      </c>
      <c r="I17" s="41" t="s">
        <v>358</v>
      </c>
      <c r="J17" s="41" t="s">
        <v>358</v>
      </c>
      <c r="K17" s="39" t="s">
        <v>68</v>
      </c>
      <c r="L17" s="12" t="s">
        <v>357</v>
      </c>
    </row>
    <row r="18" customFormat="false" ht="19.5" hidden="false" customHeight="true" outlineLevel="0" collapsed="false">
      <c r="A18" s="13" t="s">
        <v>278</v>
      </c>
      <c r="B18" s="13"/>
      <c r="C18" s="42" t="s">
        <v>290</v>
      </c>
      <c r="D18" s="42" t="n">
        <v>3</v>
      </c>
      <c r="E18" s="40" t="s">
        <v>356</v>
      </c>
      <c r="F18" s="40" t="s">
        <v>356</v>
      </c>
      <c r="G18" s="40" t="s">
        <v>356</v>
      </c>
      <c r="H18" s="41" t="s">
        <v>358</v>
      </c>
      <c r="I18" s="41" t="s">
        <v>358</v>
      </c>
      <c r="J18" s="41" t="s">
        <v>358</v>
      </c>
      <c r="K18" s="39" t="s">
        <v>68</v>
      </c>
      <c r="L18" s="12" t="s">
        <v>357</v>
      </c>
    </row>
    <row r="19" customFormat="false" ht="19.5" hidden="false" customHeight="true" outlineLevel="0" collapsed="false">
      <c r="A19" s="13" t="s">
        <v>300</v>
      </c>
      <c r="B19" s="13" t="s">
        <v>298</v>
      </c>
      <c r="C19" s="42" t="s">
        <v>290</v>
      </c>
      <c r="D19" s="42" t="n">
        <v>3</v>
      </c>
      <c r="E19" s="40" t="s">
        <v>356</v>
      </c>
      <c r="F19" s="40" t="s">
        <v>356</v>
      </c>
      <c r="G19" s="40" t="s">
        <v>356</v>
      </c>
      <c r="H19" s="41" t="s">
        <v>358</v>
      </c>
      <c r="I19" s="41" t="s">
        <v>358</v>
      </c>
      <c r="J19" s="41" t="s">
        <v>358</v>
      </c>
      <c r="K19" s="39" t="s">
        <v>68</v>
      </c>
      <c r="L19" s="12" t="s">
        <v>357</v>
      </c>
    </row>
    <row r="20" customFormat="false" ht="19.5" hidden="false" customHeight="true" outlineLevel="0" collapsed="false">
      <c r="A20" s="13" t="s">
        <v>311</v>
      </c>
      <c r="B20" s="13" t="s">
        <v>304</v>
      </c>
      <c r="C20" s="42" t="s">
        <v>277</v>
      </c>
      <c r="D20" s="42" t="n">
        <v>2</v>
      </c>
      <c r="E20" s="41" t="s">
        <v>358</v>
      </c>
      <c r="F20" s="41" t="s">
        <v>358</v>
      </c>
      <c r="G20" s="41" t="s">
        <v>358</v>
      </c>
      <c r="H20" s="40" t="s">
        <v>356</v>
      </c>
      <c r="I20" s="41" t="s">
        <v>358</v>
      </c>
      <c r="J20" s="40" t="s">
        <v>356</v>
      </c>
      <c r="K20" s="39" t="s">
        <v>68</v>
      </c>
      <c r="L20" s="12" t="s">
        <v>359</v>
      </c>
    </row>
    <row r="21" customFormat="false" ht="19.5" hidden="false" customHeight="true" outlineLevel="0" collapsed="false">
      <c r="A21" s="13" t="s">
        <v>313</v>
      </c>
      <c r="B21" s="13" t="s">
        <v>304</v>
      </c>
      <c r="C21" s="42" t="s">
        <v>277</v>
      </c>
      <c r="D21" s="42" t="n">
        <v>2</v>
      </c>
      <c r="E21" s="41" t="s">
        <v>358</v>
      </c>
      <c r="F21" s="41" t="s">
        <v>358</v>
      </c>
      <c r="G21" s="41" t="s">
        <v>358</v>
      </c>
      <c r="H21" s="40" t="s">
        <v>356</v>
      </c>
      <c r="I21" s="40" t="s">
        <v>356</v>
      </c>
      <c r="J21" s="41" t="s">
        <v>358</v>
      </c>
      <c r="K21" s="39" t="s">
        <v>68</v>
      </c>
      <c r="L21" s="12" t="s">
        <v>360</v>
      </c>
    </row>
    <row r="22" customFormat="false" ht="19.5" hidden="false" customHeight="true" outlineLevel="0" collapsed="false">
      <c r="A22" s="13" t="s">
        <v>321</v>
      </c>
      <c r="B22" s="13" t="s">
        <v>105</v>
      </c>
      <c r="C22" s="42" t="s">
        <v>277</v>
      </c>
      <c r="D22" s="42" t="n">
        <v>2</v>
      </c>
      <c r="E22" s="41" t="s">
        <v>358</v>
      </c>
      <c r="F22" s="41" t="s">
        <v>358</v>
      </c>
      <c r="G22" s="41" t="s">
        <v>358</v>
      </c>
      <c r="H22" s="40" t="s">
        <v>356</v>
      </c>
      <c r="I22" s="41" t="s">
        <v>358</v>
      </c>
      <c r="J22" s="40" t="s">
        <v>356</v>
      </c>
      <c r="K22" s="39" t="s">
        <v>68</v>
      </c>
      <c r="L22" s="12" t="s">
        <v>359</v>
      </c>
    </row>
    <row r="23" customFormat="false" ht="19.5" hidden="false" customHeight="true" outlineLevel="0" collapsed="false">
      <c r="A23" s="13" t="s">
        <v>323</v>
      </c>
      <c r="B23" s="13" t="s">
        <v>105</v>
      </c>
      <c r="C23" s="42" t="s">
        <v>277</v>
      </c>
      <c r="D23" s="42" t="n">
        <v>2</v>
      </c>
      <c r="E23" s="41" t="s">
        <v>358</v>
      </c>
      <c r="F23" s="41" t="s">
        <v>358</v>
      </c>
      <c r="G23" s="41" t="s">
        <v>358</v>
      </c>
      <c r="H23" s="40" t="s">
        <v>356</v>
      </c>
      <c r="I23" s="41" t="s">
        <v>358</v>
      </c>
      <c r="J23" s="40" t="s">
        <v>356</v>
      </c>
      <c r="K23" s="39" t="s">
        <v>68</v>
      </c>
      <c r="L23" s="12" t="s">
        <v>359</v>
      </c>
    </row>
    <row r="24" customFormat="false" ht="19.5" hidden="false" customHeight="true" outlineLevel="0" collapsed="false">
      <c r="A24" s="13" t="s">
        <v>276</v>
      </c>
      <c r="B24" s="13"/>
      <c r="C24" s="43" t="s">
        <v>270</v>
      </c>
      <c r="D24" s="43" t="n">
        <v>1</v>
      </c>
      <c r="E24" s="41" t="s">
        <v>358</v>
      </c>
      <c r="F24" s="41" t="s">
        <v>358</v>
      </c>
      <c r="G24" s="41" t="s">
        <v>358</v>
      </c>
      <c r="H24" s="41" t="s">
        <v>358</v>
      </c>
      <c r="I24" s="41" t="s">
        <v>358</v>
      </c>
      <c r="J24" s="40" t="s">
        <v>356</v>
      </c>
      <c r="K24" s="39" t="s">
        <v>68</v>
      </c>
      <c r="L24" s="12" t="s">
        <v>361</v>
      </c>
    </row>
    <row r="25" customFormat="false" ht="19.5" hidden="false" customHeight="true" outlineLevel="0" collapsed="false">
      <c r="A25" s="13" t="s">
        <v>284</v>
      </c>
      <c r="B25" s="13" t="s">
        <v>65</v>
      </c>
      <c r="C25" s="43" t="s">
        <v>270</v>
      </c>
      <c r="D25" s="43" t="n">
        <v>1</v>
      </c>
      <c r="E25" s="41" t="s">
        <v>358</v>
      </c>
      <c r="F25" s="41" t="s">
        <v>358</v>
      </c>
      <c r="G25" s="41" t="s">
        <v>358</v>
      </c>
      <c r="H25" s="41" t="s">
        <v>358</v>
      </c>
      <c r="I25" s="41" t="s">
        <v>358</v>
      </c>
      <c r="J25" s="40" t="s">
        <v>356</v>
      </c>
      <c r="K25" s="39" t="s">
        <v>68</v>
      </c>
      <c r="L25" s="12" t="s">
        <v>361</v>
      </c>
    </row>
    <row r="26" customFormat="false" ht="19.5" hidden="false" customHeight="true" outlineLevel="0" collapsed="false">
      <c r="A26" s="13" t="s">
        <v>286</v>
      </c>
      <c r="B26" s="13" t="s">
        <v>65</v>
      </c>
      <c r="C26" s="43" t="s">
        <v>270</v>
      </c>
      <c r="D26" s="43" t="n">
        <v>1</v>
      </c>
      <c r="E26" s="41" t="s">
        <v>358</v>
      </c>
      <c r="F26" s="41" t="s">
        <v>358</v>
      </c>
      <c r="G26" s="41" t="s">
        <v>358</v>
      </c>
      <c r="H26" s="41" t="s">
        <v>358</v>
      </c>
      <c r="I26" s="41" t="s">
        <v>358</v>
      </c>
      <c r="J26" s="40" t="s">
        <v>356</v>
      </c>
      <c r="K26" s="39" t="s">
        <v>68</v>
      </c>
      <c r="L26" s="12" t="s">
        <v>361</v>
      </c>
    </row>
    <row r="27" customFormat="false" ht="19.5" hidden="false" customHeight="true" outlineLevel="0" collapsed="false">
      <c r="A27" s="13" t="s">
        <v>296</v>
      </c>
      <c r="B27" s="13" t="s">
        <v>295</v>
      </c>
      <c r="C27" s="43" t="s">
        <v>270</v>
      </c>
      <c r="D27" s="43" t="n">
        <v>1</v>
      </c>
      <c r="E27" s="41" t="s">
        <v>358</v>
      </c>
      <c r="F27" s="41" t="s">
        <v>358</v>
      </c>
      <c r="G27" s="41" t="s">
        <v>358</v>
      </c>
      <c r="H27" s="41" t="s">
        <v>358</v>
      </c>
      <c r="I27" s="41" t="s">
        <v>358</v>
      </c>
      <c r="J27" s="40" t="s">
        <v>356</v>
      </c>
      <c r="K27" s="39" t="s">
        <v>68</v>
      </c>
      <c r="L27" s="12" t="s">
        <v>361</v>
      </c>
    </row>
    <row r="28" customFormat="false" ht="19.5" hidden="false" customHeight="true" outlineLevel="0" collapsed="false">
      <c r="A28" s="13" t="s">
        <v>121</v>
      </c>
      <c r="B28" s="13" t="s">
        <v>295</v>
      </c>
      <c r="C28" s="43" t="s">
        <v>270</v>
      </c>
      <c r="D28" s="43" t="n">
        <v>1</v>
      </c>
      <c r="E28" s="41" t="s">
        <v>358</v>
      </c>
      <c r="F28" s="41" t="s">
        <v>358</v>
      </c>
      <c r="G28" s="41" t="s">
        <v>358</v>
      </c>
      <c r="H28" s="41" t="s">
        <v>358</v>
      </c>
      <c r="I28" s="41" t="s">
        <v>358</v>
      </c>
      <c r="J28" s="40" t="s">
        <v>356</v>
      </c>
      <c r="K28" s="39" t="s">
        <v>68</v>
      </c>
      <c r="L28" s="12" t="s">
        <v>361</v>
      </c>
    </row>
    <row r="29" customFormat="false" ht="19.5" hidden="false" customHeight="true" outlineLevel="0" collapsed="false">
      <c r="A29" s="13" t="s">
        <v>324</v>
      </c>
      <c r="B29" s="13" t="s">
        <v>325</v>
      </c>
      <c r="C29" s="43" t="s">
        <v>270</v>
      </c>
      <c r="D29" s="43" t="n">
        <v>1</v>
      </c>
      <c r="E29" s="41" t="s">
        <v>358</v>
      </c>
      <c r="F29" s="41" t="s">
        <v>358</v>
      </c>
      <c r="G29" s="41" t="s">
        <v>358</v>
      </c>
      <c r="H29" s="41" t="s">
        <v>358</v>
      </c>
      <c r="I29" s="41" t="s">
        <v>358</v>
      </c>
      <c r="J29" s="40" t="s">
        <v>356</v>
      </c>
      <c r="K29" s="39" t="s">
        <v>68</v>
      </c>
      <c r="L29" s="12" t="s">
        <v>361</v>
      </c>
    </row>
    <row r="30" customFormat="false" ht="19.5" hidden="false" customHeight="true" outlineLevel="0" collapsed="false">
      <c r="A30" s="13" t="s">
        <v>328</v>
      </c>
      <c r="B30" s="13" t="s">
        <v>329</v>
      </c>
      <c r="C30" s="43" t="s">
        <v>270</v>
      </c>
      <c r="D30" s="43" t="n">
        <v>1</v>
      </c>
      <c r="E30" s="41" t="s">
        <v>358</v>
      </c>
      <c r="F30" s="41" t="s">
        <v>358</v>
      </c>
      <c r="G30" s="41" t="s">
        <v>358</v>
      </c>
      <c r="H30" s="41" t="s">
        <v>358</v>
      </c>
      <c r="I30" s="41" t="s">
        <v>358</v>
      </c>
      <c r="J30" s="40" t="s">
        <v>356</v>
      </c>
      <c r="K30" s="39" t="s">
        <v>68</v>
      </c>
      <c r="L30" s="12" t="s">
        <v>361</v>
      </c>
    </row>
    <row r="31" customFormat="false" ht="19.5" hidden="false" customHeight="true" outlineLevel="0" collapsed="false">
      <c r="A31" s="13" t="s">
        <v>280</v>
      </c>
      <c r="B31" s="13"/>
      <c r="C31" s="43" t="s">
        <v>272</v>
      </c>
      <c r="D31" s="43" t="n">
        <v>0</v>
      </c>
      <c r="E31" s="41" t="s">
        <v>358</v>
      </c>
      <c r="F31" s="41" t="s">
        <v>358</v>
      </c>
      <c r="G31" s="41" t="s">
        <v>358</v>
      </c>
      <c r="H31" s="41" t="s">
        <v>358</v>
      </c>
      <c r="I31" s="41" t="s">
        <v>358</v>
      </c>
      <c r="J31" s="41" t="s">
        <v>358</v>
      </c>
      <c r="K31" s="43" t="s">
        <v>78</v>
      </c>
      <c r="L31" s="12" t="s">
        <v>362</v>
      </c>
    </row>
    <row r="32" customFormat="false" ht="19.5" hidden="false" customHeight="true" outlineLevel="0" collapsed="false">
      <c r="A32" s="13" t="s">
        <v>275</v>
      </c>
      <c r="B32" s="13"/>
      <c r="C32" s="43" t="s">
        <v>272</v>
      </c>
      <c r="D32" s="43" t="n">
        <v>0</v>
      </c>
      <c r="E32" s="41" t="s">
        <v>358</v>
      </c>
      <c r="F32" s="41" t="s">
        <v>358</v>
      </c>
      <c r="G32" s="41" t="s">
        <v>358</v>
      </c>
      <c r="H32" s="41" t="s">
        <v>358</v>
      </c>
      <c r="I32" s="41" t="s">
        <v>358</v>
      </c>
      <c r="J32" s="41" t="s">
        <v>358</v>
      </c>
      <c r="K32" s="43" t="s">
        <v>78</v>
      </c>
      <c r="L32" s="12" t="s">
        <v>362</v>
      </c>
    </row>
    <row r="33" customFormat="false" ht="19.5" hidden="false" customHeight="true" outlineLevel="0" collapsed="false">
      <c r="A33" s="13" t="s">
        <v>279</v>
      </c>
      <c r="B33" s="13"/>
      <c r="C33" s="43" t="s">
        <v>272</v>
      </c>
      <c r="D33" s="43" t="n">
        <v>0</v>
      </c>
      <c r="E33" s="41" t="s">
        <v>358</v>
      </c>
      <c r="F33" s="41" t="s">
        <v>358</v>
      </c>
      <c r="G33" s="41" t="s">
        <v>358</v>
      </c>
      <c r="H33" s="41" t="s">
        <v>358</v>
      </c>
      <c r="I33" s="41" t="s">
        <v>358</v>
      </c>
      <c r="J33" s="41" t="s">
        <v>358</v>
      </c>
      <c r="K33" s="39" t="s">
        <v>68</v>
      </c>
      <c r="L33" s="12" t="s">
        <v>362</v>
      </c>
    </row>
    <row r="34" customFormat="false" ht="19.5" hidden="false" customHeight="true" outlineLevel="0" collapsed="false">
      <c r="A34" s="13" t="s">
        <v>271</v>
      </c>
      <c r="B34" s="13"/>
      <c r="C34" s="43" t="s">
        <v>272</v>
      </c>
      <c r="D34" s="43" t="n">
        <v>0</v>
      </c>
      <c r="E34" s="41" t="s">
        <v>358</v>
      </c>
      <c r="F34" s="41" t="s">
        <v>358</v>
      </c>
      <c r="G34" s="41" t="s">
        <v>358</v>
      </c>
      <c r="H34" s="41" t="s">
        <v>358</v>
      </c>
      <c r="I34" s="41" t="s">
        <v>358</v>
      </c>
      <c r="J34" s="41" t="s">
        <v>358</v>
      </c>
      <c r="K34" s="43" t="s">
        <v>78</v>
      </c>
      <c r="L34" s="12" t="s">
        <v>362</v>
      </c>
    </row>
    <row r="35" customFormat="false" ht="19.5" hidden="false" customHeight="true" outlineLevel="0" collapsed="false">
      <c r="A35" s="13" t="s">
        <v>269</v>
      </c>
      <c r="B35" s="13"/>
      <c r="C35" s="43" t="s">
        <v>272</v>
      </c>
      <c r="D35" s="43" t="n">
        <v>0</v>
      </c>
      <c r="E35" s="41" t="s">
        <v>358</v>
      </c>
      <c r="F35" s="41" t="s">
        <v>358</v>
      </c>
      <c r="G35" s="41" t="s">
        <v>358</v>
      </c>
      <c r="H35" s="41" t="s">
        <v>358</v>
      </c>
      <c r="I35" s="41" t="s">
        <v>358</v>
      </c>
      <c r="J35" s="41" t="s">
        <v>358</v>
      </c>
      <c r="K35" s="39" t="s">
        <v>68</v>
      </c>
      <c r="L35" s="12" t="s">
        <v>362</v>
      </c>
    </row>
    <row r="36" customFormat="false" ht="19.5" hidden="false" customHeight="true" outlineLevel="0" collapsed="false">
      <c r="A36" s="13" t="s">
        <v>285</v>
      </c>
      <c r="B36" s="13" t="s">
        <v>65</v>
      </c>
      <c r="C36" s="43" t="s">
        <v>272</v>
      </c>
      <c r="D36" s="43" t="n">
        <v>0</v>
      </c>
      <c r="E36" s="41" t="s">
        <v>358</v>
      </c>
      <c r="F36" s="41" t="s">
        <v>358</v>
      </c>
      <c r="G36" s="41" t="s">
        <v>358</v>
      </c>
      <c r="H36" s="41" t="s">
        <v>358</v>
      </c>
      <c r="I36" s="41" t="s">
        <v>358</v>
      </c>
      <c r="J36" s="41" t="s">
        <v>358</v>
      </c>
      <c r="K36" s="43" t="s">
        <v>78</v>
      </c>
      <c r="L36" s="12" t="s">
        <v>362</v>
      </c>
    </row>
    <row r="37" customFormat="false" ht="19.5" hidden="false" customHeight="true" outlineLevel="0" collapsed="false">
      <c r="A37" s="13" t="s">
        <v>287</v>
      </c>
      <c r="B37" s="13" t="s">
        <v>65</v>
      </c>
      <c r="C37" s="43" t="s">
        <v>272</v>
      </c>
      <c r="D37" s="43" t="n">
        <v>0</v>
      </c>
      <c r="E37" s="41" t="s">
        <v>358</v>
      </c>
      <c r="F37" s="41" t="s">
        <v>358</v>
      </c>
      <c r="G37" s="41" t="s">
        <v>358</v>
      </c>
      <c r="H37" s="41" t="s">
        <v>358</v>
      </c>
      <c r="I37" s="41" t="s">
        <v>358</v>
      </c>
      <c r="J37" s="41" t="s">
        <v>358</v>
      </c>
      <c r="K37" s="43" t="s">
        <v>78</v>
      </c>
      <c r="L37" s="12" t="s">
        <v>362</v>
      </c>
    </row>
    <row r="38" customFormat="false" ht="19.5" hidden="false" customHeight="true" outlineLevel="0" collapsed="false">
      <c r="A38" s="13" t="s">
        <v>293</v>
      </c>
      <c r="B38" s="13" t="s">
        <v>65</v>
      </c>
      <c r="C38" s="43" t="s">
        <v>272</v>
      </c>
      <c r="D38" s="43" t="n">
        <v>0</v>
      </c>
      <c r="E38" s="41" t="s">
        <v>358</v>
      </c>
      <c r="F38" s="41" t="s">
        <v>358</v>
      </c>
      <c r="G38" s="41" t="s">
        <v>358</v>
      </c>
      <c r="H38" s="41" t="s">
        <v>358</v>
      </c>
      <c r="I38" s="41" t="s">
        <v>358</v>
      </c>
      <c r="J38" s="41" t="s">
        <v>358</v>
      </c>
      <c r="K38" s="43" t="s">
        <v>78</v>
      </c>
      <c r="L38" s="12" t="s">
        <v>362</v>
      </c>
    </row>
    <row r="39" customFormat="false" ht="19.5" hidden="false" customHeight="true" outlineLevel="0" collapsed="false">
      <c r="A39" s="13" t="s">
        <v>120</v>
      </c>
      <c r="B39" s="13" t="s">
        <v>65</v>
      </c>
      <c r="C39" s="43" t="s">
        <v>272</v>
      </c>
      <c r="D39" s="43" t="n">
        <v>0</v>
      </c>
      <c r="E39" s="41" t="s">
        <v>358</v>
      </c>
      <c r="F39" s="41" t="s">
        <v>358</v>
      </c>
      <c r="G39" s="41" t="s">
        <v>358</v>
      </c>
      <c r="H39" s="41" t="s">
        <v>358</v>
      </c>
      <c r="I39" s="41" t="s">
        <v>358</v>
      </c>
      <c r="J39" s="41" t="s">
        <v>358</v>
      </c>
      <c r="K39" s="39" t="s">
        <v>68</v>
      </c>
      <c r="L39" s="12" t="s">
        <v>362</v>
      </c>
    </row>
    <row r="40" customFormat="false" ht="19.5" hidden="false" customHeight="true" outlineLevel="0" collapsed="false">
      <c r="A40" s="13" t="s">
        <v>117</v>
      </c>
      <c r="B40" s="13" t="s">
        <v>65</v>
      </c>
      <c r="C40" s="43" t="s">
        <v>272</v>
      </c>
      <c r="D40" s="43" t="n">
        <v>0</v>
      </c>
      <c r="E40" s="41" t="s">
        <v>358</v>
      </c>
      <c r="F40" s="41" t="s">
        <v>358</v>
      </c>
      <c r="G40" s="41" t="s">
        <v>358</v>
      </c>
      <c r="H40" s="41" t="s">
        <v>358</v>
      </c>
      <c r="I40" s="41" t="s">
        <v>358</v>
      </c>
      <c r="J40" s="41" t="s">
        <v>358</v>
      </c>
      <c r="K40" s="39" t="s">
        <v>68</v>
      </c>
      <c r="L40" s="12" t="s">
        <v>362</v>
      </c>
    </row>
    <row r="41" customFormat="false" ht="19.5" hidden="false" customHeight="true" outlineLevel="0" collapsed="false">
      <c r="A41" s="13" t="s">
        <v>281</v>
      </c>
      <c r="B41" s="13" t="s">
        <v>65</v>
      </c>
      <c r="C41" s="43" t="s">
        <v>272</v>
      </c>
      <c r="D41" s="43" t="n">
        <v>0</v>
      </c>
      <c r="E41" s="41" t="s">
        <v>358</v>
      </c>
      <c r="F41" s="41" t="s">
        <v>358</v>
      </c>
      <c r="G41" s="41" t="s">
        <v>358</v>
      </c>
      <c r="H41" s="41" t="s">
        <v>358</v>
      </c>
      <c r="I41" s="41" t="s">
        <v>358</v>
      </c>
      <c r="J41" s="41" t="s">
        <v>358</v>
      </c>
      <c r="K41" s="43" t="s">
        <v>78</v>
      </c>
      <c r="L41" s="12" t="s">
        <v>362</v>
      </c>
    </row>
    <row r="42" customFormat="false" ht="19.5" hidden="false" customHeight="true" outlineLevel="0" collapsed="false">
      <c r="A42" s="13" t="s">
        <v>297</v>
      </c>
      <c r="B42" s="13" t="s">
        <v>298</v>
      </c>
      <c r="C42" s="43" t="s">
        <v>272</v>
      </c>
      <c r="D42" s="43" t="n">
        <v>0</v>
      </c>
      <c r="E42" s="41" t="s">
        <v>358</v>
      </c>
      <c r="F42" s="41" t="s">
        <v>358</v>
      </c>
      <c r="G42" s="41" t="s">
        <v>358</v>
      </c>
      <c r="H42" s="41" t="s">
        <v>358</v>
      </c>
      <c r="I42" s="41" t="s">
        <v>358</v>
      </c>
      <c r="J42" s="41" t="s">
        <v>358</v>
      </c>
      <c r="K42" s="43" t="s">
        <v>78</v>
      </c>
      <c r="L42" s="12" t="s">
        <v>362</v>
      </c>
    </row>
    <row r="43" customFormat="false" ht="19.5" hidden="false" customHeight="true" outlineLevel="0" collapsed="false">
      <c r="A43" s="13" t="s">
        <v>299</v>
      </c>
      <c r="B43" s="13" t="s">
        <v>298</v>
      </c>
      <c r="C43" s="43" t="s">
        <v>272</v>
      </c>
      <c r="D43" s="43" t="n">
        <v>0</v>
      </c>
      <c r="E43" s="41" t="s">
        <v>358</v>
      </c>
      <c r="F43" s="41" t="s">
        <v>358</v>
      </c>
      <c r="G43" s="41" t="s">
        <v>358</v>
      </c>
      <c r="H43" s="41" t="s">
        <v>358</v>
      </c>
      <c r="I43" s="41" t="s">
        <v>358</v>
      </c>
      <c r="J43" s="41" t="s">
        <v>358</v>
      </c>
      <c r="K43" s="43" t="s">
        <v>78</v>
      </c>
      <c r="L43" s="12" t="s">
        <v>362</v>
      </c>
    </row>
    <row r="44" customFormat="false" ht="19.5" hidden="false" customHeight="true" outlineLevel="0" collapsed="false">
      <c r="A44" s="13" t="s">
        <v>301</v>
      </c>
      <c r="B44" s="13" t="s">
        <v>302</v>
      </c>
      <c r="C44" s="43" t="s">
        <v>272</v>
      </c>
      <c r="D44" s="43" t="n">
        <v>0</v>
      </c>
      <c r="E44" s="41" t="s">
        <v>358</v>
      </c>
      <c r="F44" s="41" t="s">
        <v>358</v>
      </c>
      <c r="G44" s="41" t="s">
        <v>358</v>
      </c>
      <c r="H44" s="41" t="s">
        <v>358</v>
      </c>
      <c r="I44" s="41" t="s">
        <v>358</v>
      </c>
      <c r="J44" s="41" t="s">
        <v>358</v>
      </c>
      <c r="K44" s="43" t="s">
        <v>78</v>
      </c>
      <c r="L44" s="12" t="s">
        <v>362</v>
      </c>
    </row>
    <row r="45" customFormat="false" ht="19.5" hidden="false" customHeight="true" outlineLevel="0" collapsed="false">
      <c r="A45" s="13" t="s">
        <v>305</v>
      </c>
      <c r="B45" s="13" t="s">
        <v>304</v>
      </c>
      <c r="C45" s="43" t="s">
        <v>272</v>
      </c>
      <c r="D45" s="43" t="n">
        <v>0</v>
      </c>
      <c r="E45" s="41" t="s">
        <v>358</v>
      </c>
      <c r="F45" s="41" t="s">
        <v>358</v>
      </c>
      <c r="G45" s="41" t="s">
        <v>358</v>
      </c>
      <c r="H45" s="41" t="s">
        <v>358</v>
      </c>
      <c r="I45" s="41" t="s">
        <v>358</v>
      </c>
      <c r="J45" s="41" t="s">
        <v>358</v>
      </c>
      <c r="K45" s="43" t="s">
        <v>78</v>
      </c>
      <c r="L45" s="12" t="s">
        <v>362</v>
      </c>
    </row>
    <row r="46" customFormat="false" ht="19.5" hidden="false" customHeight="true" outlineLevel="0" collapsed="false">
      <c r="A46" s="13" t="s">
        <v>309</v>
      </c>
      <c r="B46" s="13" t="s">
        <v>304</v>
      </c>
      <c r="C46" s="43" t="s">
        <v>272</v>
      </c>
      <c r="D46" s="43" t="n">
        <v>0</v>
      </c>
      <c r="E46" s="41" t="s">
        <v>358</v>
      </c>
      <c r="F46" s="41" t="s">
        <v>358</v>
      </c>
      <c r="G46" s="41" t="s">
        <v>358</v>
      </c>
      <c r="H46" s="41" t="s">
        <v>358</v>
      </c>
      <c r="I46" s="41" t="s">
        <v>358</v>
      </c>
      <c r="J46" s="41" t="s">
        <v>358</v>
      </c>
      <c r="K46" s="43" t="s">
        <v>78</v>
      </c>
      <c r="L46" s="12" t="s">
        <v>362</v>
      </c>
    </row>
    <row r="47" customFormat="false" ht="19.5" hidden="false" customHeight="true" outlineLevel="0" collapsed="false">
      <c r="A47" s="13" t="s">
        <v>303</v>
      </c>
      <c r="B47" s="13" t="s">
        <v>304</v>
      </c>
      <c r="C47" s="43" t="s">
        <v>272</v>
      </c>
      <c r="D47" s="43" t="n">
        <v>0</v>
      </c>
      <c r="E47" s="41" t="s">
        <v>358</v>
      </c>
      <c r="F47" s="41" t="s">
        <v>358</v>
      </c>
      <c r="G47" s="41" t="s">
        <v>358</v>
      </c>
      <c r="H47" s="41" t="s">
        <v>358</v>
      </c>
      <c r="I47" s="41" t="s">
        <v>358</v>
      </c>
      <c r="J47" s="41" t="s">
        <v>358</v>
      </c>
      <c r="K47" s="43" t="s">
        <v>78</v>
      </c>
      <c r="L47" s="12" t="s">
        <v>362</v>
      </c>
    </row>
    <row r="48" customFormat="false" ht="19.5" hidden="false" customHeight="true" outlineLevel="0" collapsed="false">
      <c r="A48" s="13" t="s">
        <v>312</v>
      </c>
      <c r="B48" s="13" t="s">
        <v>304</v>
      </c>
      <c r="C48" s="43" t="s">
        <v>272</v>
      </c>
      <c r="D48" s="43" t="n">
        <v>0</v>
      </c>
      <c r="E48" s="41" t="s">
        <v>358</v>
      </c>
      <c r="F48" s="41" t="s">
        <v>358</v>
      </c>
      <c r="G48" s="41" t="s">
        <v>358</v>
      </c>
      <c r="H48" s="41" t="s">
        <v>358</v>
      </c>
      <c r="I48" s="41" t="s">
        <v>358</v>
      </c>
      <c r="J48" s="41" t="s">
        <v>358</v>
      </c>
      <c r="K48" s="39" t="s">
        <v>68</v>
      </c>
      <c r="L48" s="12" t="s">
        <v>362</v>
      </c>
    </row>
    <row r="49" customFormat="false" ht="19.5" hidden="false" customHeight="true" outlineLevel="0" collapsed="false">
      <c r="A49" s="13" t="s">
        <v>308</v>
      </c>
      <c r="B49" s="13" t="s">
        <v>304</v>
      </c>
      <c r="C49" s="43" t="s">
        <v>272</v>
      </c>
      <c r="D49" s="43" t="n">
        <v>0</v>
      </c>
      <c r="E49" s="41" t="s">
        <v>358</v>
      </c>
      <c r="F49" s="41" t="s">
        <v>358</v>
      </c>
      <c r="G49" s="41" t="s">
        <v>358</v>
      </c>
      <c r="H49" s="41" t="s">
        <v>358</v>
      </c>
      <c r="I49" s="41" t="s">
        <v>358</v>
      </c>
      <c r="J49" s="41" t="s">
        <v>358</v>
      </c>
      <c r="K49" s="43" t="s">
        <v>78</v>
      </c>
      <c r="L49" s="12" t="s">
        <v>362</v>
      </c>
    </row>
    <row r="50" customFormat="false" ht="19.5" hidden="false" customHeight="true" outlineLevel="0" collapsed="false">
      <c r="A50" s="13" t="s">
        <v>316</v>
      </c>
      <c r="B50" s="13" t="s">
        <v>80</v>
      </c>
      <c r="C50" s="43" t="s">
        <v>272</v>
      </c>
      <c r="D50" s="43" t="n">
        <v>0</v>
      </c>
      <c r="E50" s="41" t="s">
        <v>358</v>
      </c>
      <c r="F50" s="41" t="s">
        <v>358</v>
      </c>
      <c r="G50" s="41" t="s">
        <v>358</v>
      </c>
      <c r="H50" s="41" t="s">
        <v>358</v>
      </c>
      <c r="I50" s="41" t="s">
        <v>358</v>
      </c>
      <c r="J50" s="41" t="s">
        <v>358</v>
      </c>
      <c r="K50" s="39" t="s">
        <v>68</v>
      </c>
      <c r="L50" s="12" t="s">
        <v>362</v>
      </c>
    </row>
    <row r="51" customFormat="false" ht="19.5" hidden="false" customHeight="true" outlineLevel="0" collapsed="false">
      <c r="A51" s="13" t="s">
        <v>82</v>
      </c>
      <c r="B51" s="13" t="s">
        <v>80</v>
      </c>
      <c r="C51" s="43" t="s">
        <v>272</v>
      </c>
      <c r="D51" s="43" t="n">
        <v>0</v>
      </c>
      <c r="E51" s="41" t="s">
        <v>358</v>
      </c>
      <c r="F51" s="41" t="s">
        <v>358</v>
      </c>
      <c r="G51" s="41" t="s">
        <v>358</v>
      </c>
      <c r="H51" s="41" t="s">
        <v>358</v>
      </c>
      <c r="I51" s="41" t="s">
        <v>358</v>
      </c>
      <c r="J51" s="41" t="s">
        <v>358</v>
      </c>
      <c r="K51" s="39" t="s">
        <v>68</v>
      </c>
      <c r="L51" s="12" t="s">
        <v>362</v>
      </c>
    </row>
    <row r="52" customFormat="false" ht="19.5" hidden="false" customHeight="true" outlineLevel="0" collapsed="false">
      <c r="A52" s="13" t="s">
        <v>317</v>
      </c>
      <c r="B52" s="13" t="s">
        <v>318</v>
      </c>
      <c r="C52" s="43" t="s">
        <v>272</v>
      </c>
      <c r="D52" s="43" t="n">
        <v>0</v>
      </c>
      <c r="E52" s="41" t="s">
        <v>358</v>
      </c>
      <c r="F52" s="41" t="s">
        <v>358</v>
      </c>
      <c r="G52" s="41" t="s">
        <v>358</v>
      </c>
      <c r="H52" s="41" t="s">
        <v>358</v>
      </c>
      <c r="I52" s="41" t="s">
        <v>358</v>
      </c>
      <c r="J52" s="41" t="s">
        <v>358</v>
      </c>
      <c r="K52" s="43" t="s">
        <v>78</v>
      </c>
      <c r="L52" s="12" t="s">
        <v>362</v>
      </c>
    </row>
    <row r="53" customFormat="false" ht="19.5" hidden="false" customHeight="true" outlineLevel="0" collapsed="false">
      <c r="A53" s="13" t="s">
        <v>319</v>
      </c>
      <c r="B53" s="13" t="s">
        <v>318</v>
      </c>
      <c r="C53" s="43" t="s">
        <v>272</v>
      </c>
      <c r="D53" s="43" t="n">
        <v>0</v>
      </c>
      <c r="E53" s="41" t="s">
        <v>358</v>
      </c>
      <c r="F53" s="41" t="s">
        <v>358</v>
      </c>
      <c r="G53" s="41" t="s">
        <v>358</v>
      </c>
      <c r="H53" s="41" t="s">
        <v>358</v>
      </c>
      <c r="I53" s="41" t="s">
        <v>358</v>
      </c>
      <c r="J53" s="41" t="s">
        <v>358</v>
      </c>
      <c r="K53" s="43" t="s">
        <v>78</v>
      </c>
      <c r="L53" s="12" t="s">
        <v>362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6"/>
  </cols>
  <sheetData>
    <row r="1" customFormat="false" ht="31.5" hidden="false" customHeight="true" outlineLevel="0" collapsed="false">
      <c r="A1" s="31" t="s">
        <v>363</v>
      </c>
      <c r="B1" s="31"/>
      <c r="C1" s="31"/>
      <c r="D1" s="31"/>
      <c r="E1" s="31"/>
      <c r="F1" s="31"/>
      <c r="G1" s="31"/>
      <c r="H1" s="31"/>
      <c r="I1" s="31"/>
    </row>
    <row r="2" customFormat="false" ht="15" hidden="false" customHeight="false" outlineLevel="0" collapsed="false">
      <c r="A2" s="33" t="s">
        <v>364</v>
      </c>
      <c r="B2" s="33" t="s">
        <v>346</v>
      </c>
      <c r="C2" s="33" t="s">
        <v>260</v>
      </c>
      <c r="D2" s="33" t="s">
        <v>365</v>
      </c>
      <c r="E2" s="33" t="s">
        <v>366</v>
      </c>
      <c r="F2" s="33" t="s">
        <v>367</v>
      </c>
      <c r="G2" s="33" t="s">
        <v>368</v>
      </c>
      <c r="H2" s="33" t="s">
        <v>369</v>
      </c>
      <c r="I2" s="33" t="s">
        <v>370</v>
      </c>
      <c r="J2" s="33" t="s">
        <v>371</v>
      </c>
    </row>
    <row r="3" customFormat="false" ht="19.5" hidden="false" customHeight="true" outlineLevel="0" collapsed="false">
      <c r="A3" s="44" t="n">
        <v>1</v>
      </c>
      <c r="B3" s="12" t="s">
        <v>372</v>
      </c>
      <c r="C3" s="45" t="s">
        <v>373</v>
      </c>
      <c r="D3" s="43" t="s">
        <v>85</v>
      </c>
      <c r="E3" s="45" t="s">
        <v>370</v>
      </c>
      <c r="F3" s="45" t="s">
        <v>374</v>
      </c>
      <c r="G3" s="45" t="s">
        <v>375</v>
      </c>
      <c r="H3" s="19"/>
      <c r="I3" s="46" t="s">
        <v>376</v>
      </c>
      <c r="J3" s="21"/>
    </row>
    <row r="4" customFormat="false" ht="19.5" hidden="false" customHeight="true" outlineLevel="0" collapsed="false">
      <c r="A4" s="44" t="n">
        <v>2</v>
      </c>
      <c r="B4" s="12" t="s">
        <v>377</v>
      </c>
      <c r="C4" s="45"/>
      <c r="D4" s="43" t="s">
        <v>85</v>
      </c>
      <c r="E4" s="45" t="s">
        <v>378</v>
      </c>
      <c r="F4" s="45" t="s">
        <v>374</v>
      </c>
      <c r="G4" s="45" t="s">
        <v>375</v>
      </c>
      <c r="H4" s="19"/>
      <c r="I4" s="46" t="s">
        <v>376</v>
      </c>
      <c r="J4" s="21"/>
    </row>
    <row r="5" customFormat="false" ht="19.5" hidden="false" customHeight="true" outlineLevel="0" collapsed="false">
      <c r="A5" s="44" t="n">
        <v>3</v>
      </c>
      <c r="B5" s="12" t="s">
        <v>379</v>
      </c>
      <c r="C5" s="45" t="s">
        <v>380</v>
      </c>
      <c r="D5" s="39" t="s">
        <v>76</v>
      </c>
      <c r="E5" s="45" t="s">
        <v>381</v>
      </c>
      <c r="F5" s="45" t="s">
        <v>374</v>
      </c>
      <c r="G5" s="45" t="s">
        <v>382</v>
      </c>
      <c r="H5" s="19"/>
      <c r="I5" s="46" t="s">
        <v>376</v>
      </c>
      <c r="J5" s="21"/>
    </row>
    <row r="6" customFormat="false" ht="19.5" hidden="false" customHeight="true" outlineLevel="0" collapsed="false">
      <c r="A6" s="44" t="n">
        <v>4</v>
      </c>
      <c r="B6" s="12" t="s">
        <v>383</v>
      </c>
      <c r="C6" s="45" t="s">
        <v>318</v>
      </c>
      <c r="D6" s="43" t="s">
        <v>85</v>
      </c>
      <c r="E6" s="45" t="s">
        <v>384</v>
      </c>
      <c r="F6" s="45" t="s">
        <v>374</v>
      </c>
      <c r="G6" s="45" t="s">
        <v>375</v>
      </c>
      <c r="H6" s="19"/>
      <c r="I6" s="46" t="s">
        <v>376</v>
      </c>
      <c r="J6" s="21"/>
    </row>
    <row r="7" customFormat="false" ht="19.5" hidden="false" customHeight="true" outlineLevel="0" collapsed="false">
      <c r="A7" s="44" t="n">
        <v>5</v>
      </c>
      <c r="B7" s="12" t="s">
        <v>385</v>
      </c>
      <c r="C7" s="45"/>
      <c r="D7" s="43" t="s">
        <v>85</v>
      </c>
      <c r="E7" s="45" t="s">
        <v>378</v>
      </c>
      <c r="F7" s="45" t="s">
        <v>374</v>
      </c>
      <c r="G7" s="45" t="s">
        <v>375</v>
      </c>
      <c r="H7" s="19"/>
      <c r="I7" s="46" t="s">
        <v>376</v>
      </c>
      <c r="J7" s="21"/>
    </row>
    <row r="8" customFormat="false" ht="19.5" hidden="false" customHeight="true" outlineLevel="0" collapsed="false">
      <c r="A8" s="44" t="n">
        <v>6</v>
      </c>
      <c r="B8" s="12" t="s">
        <v>386</v>
      </c>
      <c r="C8" s="45"/>
      <c r="D8" s="43" t="s">
        <v>85</v>
      </c>
      <c r="E8" s="45" t="s">
        <v>384</v>
      </c>
      <c r="F8" s="45" t="s">
        <v>374</v>
      </c>
      <c r="G8" s="45" t="s">
        <v>375</v>
      </c>
      <c r="H8" s="19"/>
      <c r="I8" s="46" t="s">
        <v>376</v>
      </c>
      <c r="J8" s="21"/>
    </row>
    <row r="9" customFormat="false" ht="19.5" hidden="false" customHeight="true" outlineLevel="0" collapsed="false">
      <c r="A9" s="44" t="n">
        <v>7</v>
      </c>
      <c r="B9" s="12" t="s">
        <v>387</v>
      </c>
      <c r="C9" s="45" t="s">
        <v>388</v>
      </c>
      <c r="D9" s="43" t="s">
        <v>85</v>
      </c>
      <c r="E9" s="45" t="s">
        <v>384</v>
      </c>
      <c r="F9" s="45" t="s">
        <v>374</v>
      </c>
      <c r="G9" s="45" t="s">
        <v>375</v>
      </c>
      <c r="H9" s="19"/>
      <c r="I9" s="46" t="s">
        <v>376</v>
      </c>
      <c r="J9" s="21"/>
    </row>
    <row r="10" customFormat="false" ht="19.5" hidden="false" customHeight="true" outlineLevel="0" collapsed="false">
      <c r="A10" s="44" t="n">
        <v>8</v>
      </c>
      <c r="B10" s="12" t="s">
        <v>389</v>
      </c>
      <c r="C10" s="45"/>
      <c r="D10" s="43" t="s">
        <v>85</v>
      </c>
      <c r="E10" s="45" t="s">
        <v>370</v>
      </c>
      <c r="F10" s="45" t="s">
        <v>374</v>
      </c>
      <c r="G10" s="45" t="s">
        <v>375</v>
      </c>
      <c r="H10" s="19"/>
      <c r="I10" s="46" t="s">
        <v>376</v>
      </c>
      <c r="J10" s="21"/>
    </row>
    <row r="11" customFormat="false" ht="19.5" hidden="false" customHeight="true" outlineLevel="0" collapsed="false">
      <c r="A11" s="44" t="n">
        <v>9</v>
      </c>
      <c r="B11" s="12" t="s">
        <v>390</v>
      </c>
      <c r="C11" s="45" t="s">
        <v>110</v>
      </c>
      <c r="D11" s="39" t="s">
        <v>76</v>
      </c>
      <c r="E11" s="45" t="s">
        <v>381</v>
      </c>
      <c r="F11" s="45" t="s">
        <v>374</v>
      </c>
      <c r="G11" s="45" t="s">
        <v>375</v>
      </c>
      <c r="H11" s="19"/>
      <c r="I11" s="46" t="s">
        <v>376</v>
      </c>
      <c r="J11" s="21"/>
    </row>
    <row r="12" customFormat="false" ht="19.5" hidden="false" customHeight="true" outlineLevel="0" collapsed="false">
      <c r="A12" s="44" t="n">
        <v>10</v>
      </c>
      <c r="B12" s="12" t="s">
        <v>391</v>
      </c>
      <c r="C12" s="45"/>
      <c r="D12" s="43" t="s">
        <v>85</v>
      </c>
      <c r="E12" s="45" t="s">
        <v>384</v>
      </c>
      <c r="F12" s="45" t="s">
        <v>374</v>
      </c>
      <c r="G12" s="45" t="s">
        <v>375</v>
      </c>
      <c r="H12" s="19"/>
      <c r="I12" s="46" t="s">
        <v>376</v>
      </c>
      <c r="J12" s="21"/>
    </row>
    <row r="13" customFormat="false" ht="19.5" hidden="false" customHeight="true" outlineLevel="0" collapsed="false">
      <c r="A13" s="44" t="n">
        <v>11</v>
      </c>
      <c r="B13" s="12" t="s">
        <v>317</v>
      </c>
      <c r="C13" s="45" t="s">
        <v>318</v>
      </c>
      <c r="D13" s="39" t="s">
        <v>76</v>
      </c>
      <c r="E13" s="45" t="s">
        <v>381</v>
      </c>
      <c r="F13" s="45" t="s">
        <v>374</v>
      </c>
      <c r="G13" s="45" t="s">
        <v>375</v>
      </c>
      <c r="H13" s="19"/>
      <c r="I13" s="46" t="s">
        <v>376</v>
      </c>
      <c r="J13" s="21"/>
    </row>
    <row r="14" customFormat="false" ht="19.5" hidden="false" customHeight="true" outlineLevel="0" collapsed="false">
      <c r="A14" s="44" t="n">
        <v>12</v>
      </c>
      <c r="B14" s="12" t="s">
        <v>392</v>
      </c>
      <c r="C14" s="45"/>
      <c r="D14" s="43" t="s">
        <v>85</v>
      </c>
      <c r="E14" s="45" t="s">
        <v>393</v>
      </c>
      <c r="F14" s="45" t="s">
        <v>374</v>
      </c>
      <c r="G14" s="45" t="s">
        <v>375</v>
      </c>
      <c r="H14" s="19"/>
      <c r="I14" s="46" t="s">
        <v>376</v>
      </c>
      <c r="J14" s="21"/>
    </row>
    <row r="15" customFormat="false" ht="19.5" hidden="false" customHeight="true" outlineLevel="0" collapsed="false">
      <c r="A15" s="44" t="n">
        <v>13</v>
      </c>
      <c r="B15" s="12" t="s">
        <v>394</v>
      </c>
      <c r="C15" s="45" t="s">
        <v>318</v>
      </c>
      <c r="D15" s="43" t="s">
        <v>85</v>
      </c>
      <c r="E15" s="45" t="s">
        <v>378</v>
      </c>
      <c r="F15" s="45" t="s">
        <v>374</v>
      </c>
      <c r="G15" s="45" t="s">
        <v>375</v>
      </c>
      <c r="H15" s="19"/>
      <c r="I15" s="46" t="s">
        <v>376</v>
      </c>
      <c r="J15" s="21"/>
    </row>
    <row r="16" customFormat="false" ht="19.5" hidden="false" customHeight="true" outlineLevel="0" collapsed="false">
      <c r="A16" s="44" t="n">
        <v>14</v>
      </c>
      <c r="B16" s="12" t="s">
        <v>395</v>
      </c>
      <c r="C16" s="45"/>
      <c r="D16" s="43" t="s">
        <v>85</v>
      </c>
      <c r="E16" s="45" t="s">
        <v>378</v>
      </c>
      <c r="F16" s="45" t="s">
        <v>374</v>
      </c>
      <c r="G16" s="45" t="s">
        <v>375</v>
      </c>
      <c r="H16" s="19"/>
      <c r="I16" s="46" t="s">
        <v>376</v>
      </c>
      <c r="J16" s="21"/>
    </row>
    <row r="17" customFormat="false" ht="19.5" hidden="false" customHeight="true" outlineLevel="0" collapsed="false">
      <c r="A17" s="44" t="n">
        <v>15</v>
      </c>
      <c r="B17" s="12" t="s">
        <v>396</v>
      </c>
      <c r="C17" s="45" t="s">
        <v>397</v>
      </c>
      <c r="D17" s="43" t="s">
        <v>85</v>
      </c>
      <c r="E17" s="45" t="s">
        <v>393</v>
      </c>
      <c r="F17" s="45" t="s">
        <v>374</v>
      </c>
      <c r="G17" s="45" t="s">
        <v>382</v>
      </c>
      <c r="H17" s="19"/>
      <c r="I17" s="46" t="s">
        <v>376</v>
      </c>
      <c r="J17" s="21"/>
    </row>
    <row r="18" customFormat="false" ht="19.5" hidden="false" customHeight="true" outlineLevel="0" collapsed="false">
      <c r="A18" s="44" t="n">
        <v>16</v>
      </c>
      <c r="B18" s="12" t="s">
        <v>398</v>
      </c>
      <c r="C18" s="45" t="s">
        <v>388</v>
      </c>
      <c r="D18" s="39" t="s">
        <v>76</v>
      </c>
      <c r="E18" s="45" t="s">
        <v>381</v>
      </c>
      <c r="F18" s="45" t="s">
        <v>374</v>
      </c>
      <c r="G18" s="45" t="s">
        <v>375</v>
      </c>
      <c r="H18" s="19"/>
      <c r="I18" s="46" t="s">
        <v>376</v>
      </c>
      <c r="J18" s="21"/>
    </row>
    <row r="19" customFormat="false" ht="19.5" hidden="false" customHeight="true" outlineLevel="0" collapsed="false">
      <c r="A19" s="44" t="n">
        <v>17</v>
      </c>
      <c r="B19" s="12" t="s">
        <v>399</v>
      </c>
      <c r="C19" s="45" t="s">
        <v>373</v>
      </c>
      <c r="D19" s="43" t="s">
        <v>85</v>
      </c>
      <c r="E19" s="45" t="s">
        <v>370</v>
      </c>
      <c r="F19" s="45" t="s">
        <v>374</v>
      </c>
      <c r="G19" s="45" t="s">
        <v>375</v>
      </c>
      <c r="H19" s="19"/>
      <c r="I19" s="46" t="s">
        <v>376</v>
      </c>
      <c r="J19" s="21"/>
    </row>
    <row r="20" customFormat="false" ht="19.5" hidden="false" customHeight="true" outlineLevel="0" collapsed="false">
      <c r="A20" s="44" t="n">
        <v>18</v>
      </c>
      <c r="B20" s="12" t="s">
        <v>400</v>
      </c>
      <c r="C20" s="45" t="s">
        <v>298</v>
      </c>
      <c r="D20" s="43" t="s">
        <v>85</v>
      </c>
      <c r="E20" s="45" t="s">
        <v>381</v>
      </c>
      <c r="F20" s="45" t="s">
        <v>374</v>
      </c>
      <c r="G20" s="45" t="s">
        <v>375</v>
      </c>
      <c r="H20" s="19"/>
      <c r="I20" s="46" t="s">
        <v>376</v>
      </c>
      <c r="J20" s="21"/>
    </row>
    <row r="21" customFormat="false" ht="19.5" hidden="false" customHeight="true" outlineLevel="0" collapsed="false">
      <c r="A21" s="44" t="n">
        <v>19</v>
      </c>
      <c r="B21" s="12" t="s">
        <v>401</v>
      </c>
      <c r="C21" s="45"/>
      <c r="D21" s="43" t="s">
        <v>85</v>
      </c>
      <c r="E21" s="45" t="s">
        <v>378</v>
      </c>
      <c r="F21" s="45" t="s">
        <v>374</v>
      </c>
      <c r="G21" s="45" t="s">
        <v>375</v>
      </c>
      <c r="H21" s="19"/>
      <c r="I21" s="46" t="s">
        <v>376</v>
      </c>
      <c r="J21" s="21"/>
    </row>
    <row r="22" customFormat="false" ht="19.5" hidden="false" customHeight="true" outlineLevel="0" collapsed="false">
      <c r="A22" s="44" t="n">
        <v>20</v>
      </c>
      <c r="B22" s="12" t="s">
        <v>402</v>
      </c>
      <c r="C22" s="45"/>
      <c r="D22" s="43" t="s">
        <v>85</v>
      </c>
      <c r="E22" s="45" t="s">
        <v>378</v>
      </c>
      <c r="F22" s="45" t="s">
        <v>374</v>
      </c>
      <c r="G22" s="45" t="s">
        <v>375</v>
      </c>
      <c r="H22" s="19"/>
      <c r="I22" s="46" t="s">
        <v>376</v>
      </c>
      <c r="J22" s="21"/>
    </row>
    <row r="23" customFormat="false" ht="19.5" hidden="false" customHeight="true" outlineLevel="0" collapsed="false">
      <c r="A23" s="44" t="n">
        <v>21</v>
      </c>
      <c r="B23" s="12" t="s">
        <v>114</v>
      </c>
      <c r="C23" s="45"/>
      <c r="D23" s="43" t="s">
        <v>85</v>
      </c>
      <c r="E23" s="45" t="s">
        <v>393</v>
      </c>
      <c r="F23" s="45" t="s">
        <v>374</v>
      </c>
      <c r="G23" s="45" t="s">
        <v>375</v>
      </c>
      <c r="H23" s="19"/>
      <c r="I23" s="46" t="s">
        <v>376</v>
      </c>
      <c r="J23" s="21"/>
    </row>
    <row r="24" customFormat="false" ht="19.5" hidden="false" customHeight="true" outlineLevel="0" collapsed="false">
      <c r="A24" s="44" t="n">
        <v>22</v>
      </c>
      <c r="B24" s="12" t="s">
        <v>403</v>
      </c>
      <c r="C24" s="45" t="s">
        <v>397</v>
      </c>
      <c r="D24" s="43" t="s">
        <v>85</v>
      </c>
      <c r="E24" s="45" t="s">
        <v>370</v>
      </c>
      <c r="F24" s="45" t="s">
        <v>374</v>
      </c>
      <c r="G24" s="45" t="s">
        <v>375</v>
      </c>
      <c r="H24" s="19"/>
      <c r="I24" s="46" t="s">
        <v>376</v>
      </c>
      <c r="J24" s="21"/>
    </row>
    <row r="25" customFormat="false" ht="19.5" hidden="false" customHeight="true" outlineLevel="0" collapsed="false">
      <c r="A25" s="44" t="n">
        <v>23</v>
      </c>
      <c r="B25" s="12" t="s">
        <v>404</v>
      </c>
      <c r="C25" s="45"/>
      <c r="D25" s="43" t="s">
        <v>85</v>
      </c>
      <c r="E25" s="45" t="s">
        <v>393</v>
      </c>
      <c r="F25" s="45" t="s">
        <v>374</v>
      </c>
      <c r="G25" s="45" t="s">
        <v>375</v>
      </c>
      <c r="H25" s="19"/>
      <c r="I25" s="46" t="s">
        <v>376</v>
      </c>
      <c r="J25" s="21"/>
    </row>
    <row r="26" customFormat="false" ht="19.5" hidden="false" customHeight="true" outlineLevel="0" collapsed="false">
      <c r="A26" s="44" t="n">
        <v>24</v>
      </c>
      <c r="B26" s="12" t="s">
        <v>405</v>
      </c>
      <c r="C26" s="45"/>
      <c r="D26" s="43" t="s">
        <v>85</v>
      </c>
      <c r="E26" s="45" t="s">
        <v>378</v>
      </c>
      <c r="F26" s="45" t="s">
        <v>374</v>
      </c>
      <c r="G26" s="45" t="s">
        <v>375</v>
      </c>
      <c r="H26" s="19"/>
      <c r="I26" s="46" t="s">
        <v>376</v>
      </c>
      <c r="J26" s="21"/>
    </row>
    <row r="27" customFormat="false" ht="19.5" hidden="false" customHeight="true" outlineLevel="0" collapsed="false">
      <c r="A27" s="44" t="n">
        <v>25</v>
      </c>
      <c r="B27" s="12" t="s">
        <v>406</v>
      </c>
      <c r="C27" s="45"/>
      <c r="D27" s="43" t="s">
        <v>85</v>
      </c>
      <c r="E27" s="45" t="s">
        <v>384</v>
      </c>
      <c r="F27" s="45" t="s">
        <v>374</v>
      </c>
      <c r="G27" s="45" t="s">
        <v>375</v>
      </c>
      <c r="H27" s="19"/>
      <c r="I27" s="46" t="s">
        <v>376</v>
      </c>
      <c r="J27" s="21"/>
    </row>
    <row r="28" customFormat="false" ht="19.5" hidden="false" customHeight="true" outlineLevel="0" collapsed="false">
      <c r="A28" s="44" t="n">
        <v>26</v>
      </c>
      <c r="B28" s="12" t="s">
        <v>407</v>
      </c>
      <c r="C28" s="45"/>
      <c r="D28" s="43" t="s">
        <v>85</v>
      </c>
      <c r="E28" s="45" t="s">
        <v>370</v>
      </c>
      <c r="F28" s="45" t="s">
        <v>374</v>
      </c>
      <c r="G28" s="45" t="s">
        <v>375</v>
      </c>
      <c r="H28" s="19"/>
      <c r="I28" s="46" t="s">
        <v>376</v>
      </c>
      <c r="J28" s="21"/>
    </row>
    <row r="29" customFormat="false" ht="19.5" hidden="false" customHeight="true" outlineLevel="0" collapsed="false">
      <c r="A29" s="44" t="n">
        <v>27</v>
      </c>
      <c r="B29" s="12" t="s">
        <v>408</v>
      </c>
      <c r="C29" s="45"/>
      <c r="D29" s="43" t="s">
        <v>85</v>
      </c>
      <c r="E29" s="45" t="s">
        <v>378</v>
      </c>
      <c r="F29" s="45" t="s">
        <v>374</v>
      </c>
      <c r="G29" s="45" t="s">
        <v>375</v>
      </c>
      <c r="H29" s="19"/>
      <c r="I29" s="46" t="s">
        <v>376</v>
      </c>
      <c r="J29" s="21"/>
    </row>
    <row r="30" customFormat="false" ht="19.5" hidden="false" customHeight="true" outlineLevel="0" collapsed="false">
      <c r="A30" s="44" t="n">
        <v>28</v>
      </c>
      <c r="B30" s="12" t="s">
        <v>409</v>
      </c>
      <c r="C30" s="45" t="s">
        <v>388</v>
      </c>
      <c r="D30" s="43" t="s">
        <v>85</v>
      </c>
      <c r="E30" s="45" t="s">
        <v>378</v>
      </c>
      <c r="F30" s="45" t="s">
        <v>374</v>
      </c>
      <c r="G30" s="45" t="s">
        <v>375</v>
      </c>
      <c r="H30" s="19"/>
      <c r="I30" s="46" t="s">
        <v>376</v>
      </c>
      <c r="J30" s="21"/>
    </row>
    <row r="31" customFormat="false" ht="19.5" hidden="false" customHeight="true" outlineLevel="0" collapsed="false">
      <c r="A31" s="44" t="n">
        <v>29</v>
      </c>
      <c r="B31" s="12" t="s">
        <v>410</v>
      </c>
      <c r="C31" s="45"/>
      <c r="D31" s="43" t="s">
        <v>85</v>
      </c>
      <c r="E31" s="45" t="s">
        <v>393</v>
      </c>
      <c r="F31" s="45" t="s">
        <v>374</v>
      </c>
      <c r="G31" s="45" t="s">
        <v>375</v>
      </c>
      <c r="H31" s="19"/>
      <c r="I31" s="46" t="s">
        <v>376</v>
      </c>
      <c r="J31" s="21"/>
    </row>
    <row r="32" customFormat="false" ht="19.5" hidden="false" customHeight="true" outlineLevel="0" collapsed="false">
      <c r="A32" s="44" t="n">
        <v>30</v>
      </c>
      <c r="B32" s="12" t="s">
        <v>411</v>
      </c>
      <c r="C32" s="45"/>
      <c r="D32" s="43" t="s">
        <v>85</v>
      </c>
      <c r="E32" s="45" t="s">
        <v>384</v>
      </c>
      <c r="F32" s="45" t="s">
        <v>374</v>
      </c>
      <c r="G32" s="45" t="s">
        <v>375</v>
      </c>
      <c r="H32" s="19"/>
      <c r="I32" s="46" t="s">
        <v>376</v>
      </c>
      <c r="J32" s="21"/>
    </row>
    <row r="33" customFormat="false" ht="19.5" hidden="false" customHeight="true" outlineLevel="0" collapsed="false">
      <c r="A33" s="44" t="n">
        <v>31</v>
      </c>
      <c r="B33" s="12" t="s">
        <v>412</v>
      </c>
      <c r="C33" s="45"/>
      <c r="D33" s="43" t="s">
        <v>85</v>
      </c>
      <c r="E33" s="45" t="s">
        <v>370</v>
      </c>
      <c r="F33" s="45" t="s">
        <v>374</v>
      </c>
      <c r="G33" s="45" t="s">
        <v>375</v>
      </c>
      <c r="H33" s="19"/>
      <c r="I33" s="46" t="s">
        <v>376</v>
      </c>
      <c r="J33" s="21"/>
    </row>
    <row r="34" customFormat="false" ht="19.5" hidden="false" customHeight="true" outlineLevel="0" collapsed="false">
      <c r="A34" s="44" t="n">
        <v>32</v>
      </c>
      <c r="B34" s="12" t="s">
        <v>413</v>
      </c>
      <c r="C34" s="45" t="s">
        <v>318</v>
      </c>
      <c r="D34" s="39" t="s">
        <v>76</v>
      </c>
      <c r="E34" s="45" t="s">
        <v>381</v>
      </c>
      <c r="F34" s="45" t="s">
        <v>374</v>
      </c>
      <c r="G34" s="45" t="s">
        <v>375</v>
      </c>
      <c r="H34" s="19"/>
      <c r="I34" s="46" t="s">
        <v>376</v>
      </c>
      <c r="J34" s="21"/>
    </row>
    <row r="35" customFormat="false" ht="19.5" hidden="false" customHeight="true" outlineLevel="0" collapsed="false">
      <c r="A35" s="44" t="n">
        <v>33</v>
      </c>
      <c r="B35" s="12" t="s">
        <v>414</v>
      </c>
      <c r="C35" s="45"/>
      <c r="D35" s="43" t="s">
        <v>85</v>
      </c>
      <c r="E35" s="45" t="s">
        <v>370</v>
      </c>
      <c r="F35" s="45" t="s">
        <v>374</v>
      </c>
      <c r="G35" s="45" t="s">
        <v>375</v>
      </c>
      <c r="H35" s="19"/>
      <c r="I35" s="46" t="s">
        <v>376</v>
      </c>
      <c r="J35" s="21"/>
    </row>
    <row r="36" customFormat="false" ht="19.5" hidden="false" customHeight="true" outlineLevel="0" collapsed="false">
      <c r="A36" s="44" t="n">
        <v>34</v>
      </c>
      <c r="B36" s="12" t="s">
        <v>415</v>
      </c>
      <c r="C36" s="45" t="s">
        <v>110</v>
      </c>
      <c r="D36" s="39" t="s">
        <v>76</v>
      </c>
      <c r="E36" s="45" t="s">
        <v>381</v>
      </c>
      <c r="F36" s="45" t="s">
        <v>374</v>
      </c>
      <c r="G36" s="45" t="s">
        <v>375</v>
      </c>
      <c r="H36" s="19"/>
      <c r="I36" s="46" t="s">
        <v>376</v>
      </c>
      <c r="J36" s="21"/>
    </row>
    <row r="37" customFormat="false" ht="19.5" hidden="false" customHeight="true" outlineLevel="0" collapsed="false">
      <c r="A37" s="44" t="n">
        <v>35</v>
      </c>
      <c r="B37" s="12" t="s">
        <v>416</v>
      </c>
      <c r="C37" s="45"/>
      <c r="D37" s="43" t="s">
        <v>85</v>
      </c>
      <c r="E37" s="45" t="s">
        <v>370</v>
      </c>
      <c r="F37" s="45" t="s">
        <v>374</v>
      </c>
      <c r="G37" s="45" t="s">
        <v>375</v>
      </c>
      <c r="H37" s="19"/>
      <c r="I37" s="46" t="s">
        <v>376</v>
      </c>
      <c r="J37" s="21"/>
    </row>
    <row r="38" customFormat="false" ht="19.5" hidden="false" customHeight="true" outlineLevel="0" collapsed="false">
      <c r="A38" s="44" t="n">
        <v>36</v>
      </c>
      <c r="B38" s="12" t="s">
        <v>417</v>
      </c>
      <c r="C38" s="45" t="s">
        <v>388</v>
      </c>
      <c r="D38" s="43" t="s">
        <v>85</v>
      </c>
      <c r="E38" s="45" t="s">
        <v>378</v>
      </c>
      <c r="F38" s="45" t="s">
        <v>374</v>
      </c>
      <c r="G38" s="45" t="s">
        <v>375</v>
      </c>
      <c r="H38" s="19"/>
      <c r="I38" s="46" t="s">
        <v>376</v>
      </c>
      <c r="J38" s="21"/>
    </row>
    <row r="39" customFormat="false" ht="19.5" hidden="false" customHeight="true" outlineLevel="0" collapsed="false">
      <c r="A39" s="44" t="n">
        <v>37</v>
      </c>
      <c r="B39" s="12" t="s">
        <v>418</v>
      </c>
      <c r="C39" s="45"/>
      <c r="D39" s="43" t="s">
        <v>85</v>
      </c>
      <c r="E39" s="45" t="s">
        <v>378</v>
      </c>
      <c r="F39" s="45" t="s">
        <v>374</v>
      </c>
      <c r="G39" s="45" t="s">
        <v>375</v>
      </c>
      <c r="H39" s="19"/>
      <c r="I39" s="46" t="s">
        <v>376</v>
      </c>
      <c r="J39" s="21"/>
    </row>
    <row r="40" customFormat="false" ht="19.5" hidden="false" customHeight="true" outlineLevel="0" collapsed="false">
      <c r="A40" s="44" t="n">
        <v>38</v>
      </c>
      <c r="B40" s="12" t="s">
        <v>419</v>
      </c>
      <c r="C40" s="45"/>
      <c r="D40" s="43" t="s">
        <v>85</v>
      </c>
      <c r="E40" s="45" t="s">
        <v>370</v>
      </c>
      <c r="F40" s="45" t="s">
        <v>374</v>
      </c>
      <c r="G40" s="45" t="s">
        <v>375</v>
      </c>
      <c r="H40" s="19"/>
      <c r="I40" s="46" t="s">
        <v>376</v>
      </c>
      <c r="J40" s="21"/>
    </row>
    <row r="41" customFormat="false" ht="19.5" hidden="false" customHeight="true" outlineLevel="0" collapsed="false">
      <c r="A41" s="44" t="n">
        <v>39</v>
      </c>
      <c r="B41" s="12" t="s">
        <v>420</v>
      </c>
      <c r="C41" s="45"/>
      <c r="D41" s="43" t="s">
        <v>85</v>
      </c>
      <c r="E41" s="45" t="s">
        <v>370</v>
      </c>
      <c r="F41" s="45" t="s">
        <v>374</v>
      </c>
      <c r="G41" s="45" t="s">
        <v>375</v>
      </c>
      <c r="H41" s="19"/>
      <c r="I41" s="46" t="s">
        <v>376</v>
      </c>
      <c r="J41" s="21"/>
    </row>
    <row r="42" customFormat="false" ht="19.5" hidden="false" customHeight="true" outlineLevel="0" collapsed="false">
      <c r="A42" s="44" t="n">
        <v>40</v>
      </c>
      <c r="B42" s="12" t="s">
        <v>421</v>
      </c>
      <c r="C42" s="45"/>
      <c r="D42" s="43" t="s">
        <v>85</v>
      </c>
      <c r="E42" s="45" t="s">
        <v>384</v>
      </c>
      <c r="F42" s="45" t="s">
        <v>374</v>
      </c>
      <c r="G42" s="45" t="s">
        <v>375</v>
      </c>
      <c r="H42" s="19"/>
      <c r="I42" s="46" t="s">
        <v>376</v>
      </c>
      <c r="J42" s="21"/>
    </row>
    <row r="43" customFormat="false" ht="19.5" hidden="false" customHeight="true" outlineLevel="0" collapsed="false">
      <c r="A43" s="44" t="n">
        <v>41</v>
      </c>
      <c r="B43" s="12" t="s">
        <v>422</v>
      </c>
      <c r="C43" s="45"/>
      <c r="D43" s="43" t="s">
        <v>85</v>
      </c>
      <c r="E43" s="45" t="s">
        <v>370</v>
      </c>
      <c r="F43" s="45" t="s">
        <v>374</v>
      </c>
      <c r="G43" s="45" t="s">
        <v>375</v>
      </c>
      <c r="H43" s="19"/>
      <c r="I43" s="46" t="s">
        <v>376</v>
      </c>
      <c r="J43" s="21"/>
    </row>
    <row r="44" customFormat="false" ht="19.5" hidden="false" customHeight="true" outlineLevel="0" collapsed="false">
      <c r="A44" s="44" t="n">
        <v>42</v>
      </c>
      <c r="B44" s="12" t="s">
        <v>423</v>
      </c>
      <c r="C44" s="45"/>
      <c r="D44" s="43" t="s">
        <v>85</v>
      </c>
      <c r="E44" s="45" t="s">
        <v>393</v>
      </c>
      <c r="F44" s="45" t="s">
        <v>374</v>
      </c>
      <c r="G44" s="45" t="s">
        <v>375</v>
      </c>
      <c r="H44" s="19"/>
      <c r="I44" s="46" t="s">
        <v>376</v>
      </c>
      <c r="J44" s="21"/>
    </row>
    <row r="45" customFormat="false" ht="19.5" hidden="false" customHeight="true" outlineLevel="0" collapsed="false">
      <c r="A45" s="44" t="n">
        <v>43</v>
      </c>
      <c r="B45" s="12" t="s">
        <v>424</v>
      </c>
      <c r="C45" s="45"/>
      <c r="D45" s="43" t="s">
        <v>85</v>
      </c>
      <c r="E45" s="45" t="s">
        <v>370</v>
      </c>
      <c r="F45" s="45" t="s">
        <v>374</v>
      </c>
      <c r="G45" s="45" t="s">
        <v>375</v>
      </c>
      <c r="H45" s="19"/>
      <c r="I45" s="46" t="s">
        <v>376</v>
      </c>
      <c r="J45" s="21"/>
    </row>
    <row r="46" customFormat="false" ht="19.5" hidden="false" customHeight="true" outlineLevel="0" collapsed="false">
      <c r="A46" s="44" t="n">
        <v>44</v>
      </c>
      <c r="B46" s="12" t="s">
        <v>425</v>
      </c>
      <c r="C46" s="45"/>
      <c r="D46" s="43" t="s">
        <v>85</v>
      </c>
      <c r="E46" s="45" t="s">
        <v>370</v>
      </c>
      <c r="F46" s="45" t="s">
        <v>374</v>
      </c>
      <c r="G46" s="45" t="s">
        <v>375</v>
      </c>
      <c r="H46" s="19"/>
      <c r="I46" s="46" t="s">
        <v>376</v>
      </c>
      <c r="J46" s="21"/>
    </row>
    <row r="47" customFormat="false" ht="19.5" hidden="false" customHeight="true" outlineLevel="0" collapsed="false">
      <c r="A47" s="44" t="n">
        <v>45</v>
      </c>
      <c r="B47" s="12" t="s">
        <v>426</v>
      </c>
      <c r="C47" s="45"/>
      <c r="D47" s="43" t="s">
        <v>85</v>
      </c>
      <c r="E47" s="45" t="s">
        <v>370</v>
      </c>
      <c r="F47" s="45" t="s">
        <v>374</v>
      </c>
      <c r="G47" s="45" t="s">
        <v>375</v>
      </c>
      <c r="H47" s="19"/>
      <c r="I47" s="46" t="s">
        <v>376</v>
      </c>
      <c r="J47" s="21"/>
    </row>
    <row r="48" customFormat="false" ht="19.5" hidden="false" customHeight="true" outlineLevel="0" collapsed="false">
      <c r="A48" s="44" t="n">
        <v>46</v>
      </c>
      <c r="B48" s="12" t="s">
        <v>427</v>
      </c>
      <c r="C48" s="45"/>
      <c r="D48" s="43" t="s">
        <v>85</v>
      </c>
      <c r="E48" s="45" t="s">
        <v>384</v>
      </c>
      <c r="F48" s="45" t="s">
        <v>374</v>
      </c>
      <c r="G48" s="45" t="s">
        <v>375</v>
      </c>
      <c r="H48" s="19"/>
      <c r="I48" s="46" t="s">
        <v>376</v>
      </c>
      <c r="J48" s="21"/>
    </row>
    <row r="49" customFormat="false" ht="19.5" hidden="false" customHeight="true" outlineLevel="0" collapsed="false">
      <c r="A49" s="44" t="n">
        <v>47</v>
      </c>
      <c r="B49" s="12" t="s">
        <v>428</v>
      </c>
      <c r="C49" s="45" t="s">
        <v>388</v>
      </c>
      <c r="D49" s="39" t="s">
        <v>76</v>
      </c>
      <c r="E49" s="45" t="s">
        <v>381</v>
      </c>
      <c r="F49" s="45" t="s">
        <v>374</v>
      </c>
      <c r="G49" s="45" t="s">
        <v>375</v>
      </c>
      <c r="H49" s="19"/>
      <c r="I49" s="46" t="s">
        <v>376</v>
      </c>
      <c r="J49" s="21"/>
    </row>
    <row r="50" customFormat="false" ht="19.5" hidden="false" customHeight="true" outlineLevel="0" collapsed="false">
      <c r="A50" s="44" t="n">
        <v>48</v>
      </c>
      <c r="B50" s="12" t="s">
        <v>429</v>
      </c>
      <c r="C50" s="45" t="s">
        <v>110</v>
      </c>
      <c r="D50" s="43" t="s">
        <v>85</v>
      </c>
      <c r="E50" s="45" t="s">
        <v>370</v>
      </c>
      <c r="F50" s="45" t="s">
        <v>374</v>
      </c>
      <c r="G50" s="45" t="s">
        <v>375</v>
      </c>
      <c r="H50" s="19"/>
      <c r="I50" s="46" t="s">
        <v>376</v>
      </c>
      <c r="J50" s="21"/>
    </row>
    <row r="51" customFormat="false" ht="19.5" hidden="false" customHeight="true" outlineLevel="0" collapsed="false">
      <c r="A51" s="44" t="n">
        <v>49</v>
      </c>
      <c r="B51" s="12" t="s">
        <v>430</v>
      </c>
      <c r="C51" s="45" t="s">
        <v>431</v>
      </c>
      <c r="D51" s="43" t="s">
        <v>85</v>
      </c>
      <c r="E51" s="45" t="s">
        <v>370</v>
      </c>
      <c r="F51" s="45" t="s">
        <v>374</v>
      </c>
      <c r="G51" s="45" t="s">
        <v>375</v>
      </c>
      <c r="H51" s="19"/>
      <c r="I51" s="46" t="s">
        <v>376</v>
      </c>
      <c r="J51" s="21"/>
    </row>
    <row r="52" customFormat="false" ht="19.5" hidden="false" customHeight="true" outlineLevel="0" collapsed="false">
      <c r="A52" s="44" t="n">
        <v>50</v>
      </c>
      <c r="B52" s="12" t="s">
        <v>432</v>
      </c>
      <c r="C52" s="45"/>
      <c r="D52" s="43" t="s">
        <v>85</v>
      </c>
      <c r="E52" s="45" t="s">
        <v>384</v>
      </c>
      <c r="F52" s="45" t="s">
        <v>374</v>
      </c>
      <c r="G52" s="45" t="s">
        <v>375</v>
      </c>
      <c r="H52" s="19"/>
      <c r="I52" s="46" t="s">
        <v>376</v>
      </c>
      <c r="J52" s="21"/>
    </row>
    <row r="53" customFormat="false" ht="19.5" hidden="false" customHeight="true" outlineLevel="0" collapsed="false">
      <c r="A53" s="44" t="n">
        <v>51</v>
      </c>
      <c r="B53" s="12" t="s">
        <v>433</v>
      </c>
      <c r="C53" s="45"/>
      <c r="D53" s="43" t="s">
        <v>85</v>
      </c>
      <c r="E53" s="45" t="s">
        <v>384</v>
      </c>
      <c r="F53" s="45" t="s">
        <v>374</v>
      </c>
      <c r="G53" s="45" t="s">
        <v>375</v>
      </c>
      <c r="H53" s="19"/>
      <c r="I53" s="46" t="s">
        <v>376</v>
      </c>
      <c r="J53" s="21"/>
    </row>
    <row r="54" customFormat="false" ht="19.5" hidden="false" customHeight="true" outlineLevel="0" collapsed="false">
      <c r="A54" s="44" t="n">
        <v>52</v>
      </c>
      <c r="B54" s="12" t="s">
        <v>434</v>
      </c>
      <c r="C54" s="45"/>
      <c r="D54" s="43" t="s">
        <v>85</v>
      </c>
      <c r="E54" s="45" t="s">
        <v>370</v>
      </c>
      <c r="F54" s="45" t="s">
        <v>374</v>
      </c>
      <c r="G54" s="45" t="s">
        <v>375</v>
      </c>
      <c r="H54" s="19"/>
      <c r="I54" s="46" t="s">
        <v>376</v>
      </c>
      <c r="J54" s="21"/>
    </row>
    <row r="56" customFormat="false" ht="15" hidden="false" customHeight="false" outlineLevel="0" collapsed="false">
      <c r="A56" s="47" t="s">
        <v>435</v>
      </c>
      <c r="B56" s="47"/>
      <c r="C56" s="47"/>
    </row>
    <row r="57" customFormat="false" ht="25.5" hidden="false" customHeight="true" outlineLevel="0" collapsed="false">
      <c r="A57" s="48" t="s">
        <v>31</v>
      </c>
      <c r="B57" s="48" t="s">
        <v>436</v>
      </c>
      <c r="C57" s="48" t="s">
        <v>437</v>
      </c>
      <c r="D57" s="48" t="s">
        <v>438</v>
      </c>
      <c r="E57" s="48" t="s">
        <v>267</v>
      </c>
    </row>
    <row r="58" customFormat="false" ht="15" hidden="false" customHeight="false" outlineLevel="0" collapsed="false">
      <c r="A58" s="49" t="n">
        <f aca="false">COUNTA(B3:B54)</f>
        <v>52</v>
      </c>
      <c r="B58" s="49" t="n">
        <f aca="false">COUNTIF(D3:D54,"Volume")</f>
        <v>7</v>
      </c>
      <c r="C58" s="49" t="n">
        <f aca="false">COUNTIF(D3:D54,"Imagem")</f>
        <v>45</v>
      </c>
      <c r="D58" s="49" t="n">
        <f aca="false">COUNTIF(G3:G54,"Alta")</f>
        <v>50</v>
      </c>
      <c r="E58" s="49" t="n">
        <f aca="false">COUNTIF(I3:I54,"Perfect Outlet")</f>
        <v>0</v>
      </c>
    </row>
  </sheetData>
  <mergeCells count="2">
    <mergeCell ref="A1:I1"/>
    <mergeCell ref="A56:C56"/>
  </mergeCells>
  <dataValidations count="2">
    <dataValidation allowBlank="true" errorStyle="stop" operator="between" showDropDown="false" showErrorMessage="false" showInputMessage="false" sqref="H3:H54" type="list">
      <formula1>"Castelo,Hotzone,Área Turística,Orla,Cena,Grupo,Alta energia"</formula1>
      <formula2>0</formula2>
    </dataValidation>
    <dataValidation allowBlank="true" errorStyle="stop" operator="between" showDropDown="false" showErrorMessage="false" showInputMessage="false" sqref="I3:I54" type="list">
      <formula1>"A visitar,Visitada,Em execução,Perfect Outlet,Contrato aberto,Standby"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24"/>
    <col collapsed="false" customWidth="true" hidden="false" outlineLevel="0" max="8" min="8" style="1" width="22"/>
    <col collapsed="false" customWidth="true" hidden="false" outlineLevel="0" max="9" min="9" style="1" width="16"/>
    <col collapsed="false" customWidth="true" hidden="false" outlineLevel="0" max="10" min="10" style="1" width="12"/>
    <col collapsed="false" customWidth="true" hidden="false" outlineLevel="0" max="11" min="11" style="1" width="26"/>
  </cols>
  <sheetData>
    <row r="1" customFormat="false" ht="25.5" hidden="false" customHeight="true" outlineLevel="0" collapsed="false">
      <c r="A1" s="31" t="s">
        <v>439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customFormat="false" ht="15" hidden="false" customHeight="true" outlineLevel="0" collapsed="false">
      <c r="A2" s="50" t="s">
        <v>440</v>
      </c>
      <c r="B2" s="19"/>
      <c r="C2" s="50" t="s">
        <v>441</v>
      </c>
      <c r="D2" s="19"/>
      <c r="E2" s="50" t="s">
        <v>442</v>
      </c>
      <c r="F2" s="51"/>
      <c r="G2" s="51"/>
      <c r="H2" s="51"/>
      <c r="I2" s="51"/>
      <c r="J2" s="51"/>
      <c r="K2" s="51"/>
    </row>
    <row r="3" customFormat="false" ht="15" hidden="false" customHeight="true" outlineLevel="0" collapsed="false">
      <c r="A3" s="33" t="s">
        <v>443</v>
      </c>
      <c r="B3" s="33" t="s">
        <v>364</v>
      </c>
      <c r="C3" s="33" t="s">
        <v>444</v>
      </c>
      <c r="D3" s="33" t="s">
        <v>445</v>
      </c>
      <c r="E3" s="33" t="s">
        <v>369</v>
      </c>
      <c r="F3" s="33" t="s">
        <v>446</v>
      </c>
      <c r="G3" s="33" t="s">
        <v>447</v>
      </c>
      <c r="H3" s="33" t="s">
        <v>448</v>
      </c>
      <c r="I3" s="33" t="s">
        <v>449</v>
      </c>
      <c r="J3" s="33" t="s">
        <v>370</v>
      </c>
      <c r="K3" s="33" t="s">
        <v>450</v>
      </c>
    </row>
    <row r="4" customFormat="false" ht="21.75" hidden="false" customHeight="true" outlineLevel="0" collapsed="false">
      <c r="A4" s="52" t="s">
        <v>451</v>
      </c>
      <c r="B4" s="52" t="s">
        <v>452</v>
      </c>
      <c r="C4" s="52" t="s">
        <v>453</v>
      </c>
      <c r="D4" s="52" t="s">
        <v>454</v>
      </c>
      <c r="E4" s="52" t="s">
        <v>64</v>
      </c>
      <c r="F4" s="52" t="s">
        <v>212</v>
      </c>
      <c r="G4" s="16" t="s">
        <v>455</v>
      </c>
      <c r="H4" s="16" t="s">
        <v>456</v>
      </c>
      <c r="I4" s="52" t="s">
        <v>457</v>
      </c>
      <c r="J4" s="52" t="s">
        <v>458</v>
      </c>
      <c r="K4" s="16" t="s">
        <v>459</v>
      </c>
    </row>
    <row r="5" customFormat="false" ht="24" hidden="false" customHeight="true" outlineLevel="0" collapsed="false">
      <c r="A5" s="8" t="s">
        <v>451</v>
      </c>
      <c r="B5" s="8" t="s">
        <v>452</v>
      </c>
      <c r="C5" s="19"/>
      <c r="D5" s="19"/>
      <c r="E5" s="19"/>
      <c r="F5" s="19"/>
      <c r="G5" s="21"/>
      <c r="H5" s="21"/>
      <c r="I5" s="19"/>
      <c r="J5" s="13" t="s">
        <v>458</v>
      </c>
      <c r="K5" s="21"/>
    </row>
    <row r="6" customFormat="false" ht="24" hidden="false" customHeight="true" outlineLevel="0" collapsed="false">
      <c r="A6" s="8" t="s">
        <v>451</v>
      </c>
      <c r="B6" s="8" t="s">
        <v>460</v>
      </c>
      <c r="C6" s="19"/>
      <c r="D6" s="19"/>
      <c r="E6" s="19"/>
      <c r="F6" s="19"/>
      <c r="G6" s="21"/>
      <c r="H6" s="21"/>
      <c r="I6" s="19"/>
      <c r="J6" s="13" t="s">
        <v>458</v>
      </c>
      <c r="K6" s="21"/>
    </row>
    <row r="7" customFormat="false" ht="24" hidden="false" customHeight="true" outlineLevel="0" collapsed="false">
      <c r="A7" s="8" t="s">
        <v>451</v>
      </c>
      <c r="B7" s="8" t="s">
        <v>461</v>
      </c>
      <c r="C7" s="19"/>
      <c r="D7" s="19"/>
      <c r="E7" s="19"/>
      <c r="F7" s="19"/>
      <c r="G7" s="21"/>
      <c r="H7" s="21"/>
      <c r="I7" s="19"/>
      <c r="J7" s="13" t="s">
        <v>458</v>
      </c>
      <c r="K7" s="21"/>
    </row>
    <row r="8" customFormat="false" ht="24" hidden="false" customHeight="true" outlineLevel="0" collapsed="false">
      <c r="A8" s="8" t="s">
        <v>451</v>
      </c>
      <c r="B8" s="8" t="s">
        <v>462</v>
      </c>
      <c r="C8" s="19"/>
      <c r="D8" s="19"/>
      <c r="E8" s="19"/>
      <c r="F8" s="19"/>
      <c r="G8" s="21"/>
      <c r="H8" s="21"/>
      <c r="I8" s="19"/>
      <c r="J8" s="13" t="s">
        <v>458</v>
      </c>
      <c r="K8" s="21"/>
    </row>
    <row r="9" customFormat="false" ht="24" hidden="false" customHeight="true" outlineLevel="0" collapsed="false">
      <c r="A9" s="8" t="s">
        <v>451</v>
      </c>
      <c r="B9" s="8" t="s">
        <v>463</v>
      </c>
      <c r="C9" s="19"/>
      <c r="D9" s="19"/>
      <c r="E9" s="19"/>
      <c r="F9" s="19"/>
      <c r="G9" s="21"/>
      <c r="H9" s="21"/>
      <c r="I9" s="19"/>
      <c r="J9" s="13" t="s">
        <v>458</v>
      </c>
      <c r="K9" s="21"/>
    </row>
    <row r="10" customFormat="false" ht="24" hidden="false" customHeight="true" outlineLevel="0" collapsed="false">
      <c r="A10" s="8" t="s">
        <v>464</v>
      </c>
      <c r="B10" s="8" t="s">
        <v>452</v>
      </c>
      <c r="C10" s="19"/>
      <c r="D10" s="19"/>
      <c r="E10" s="19"/>
      <c r="F10" s="19"/>
      <c r="G10" s="21"/>
      <c r="H10" s="21"/>
      <c r="I10" s="19"/>
      <c r="J10" s="13" t="s">
        <v>458</v>
      </c>
      <c r="K10" s="21"/>
    </row>
    <row r="11" customFormat="false" ht="24" hidden="false" customHeight="true" outlineLevel="0" collapsed="false">
      <c r="A11" s="8" t="s">
        <v>464</v>
      </c>
      <c r="B11" s="8" t="s">
        <v>460</v>
      </c>
      <c r="C11" s="19"/>
      <c r="D11" s="19"/>
      <c r="E11" s="19"/>
      <c r="F11" s="19"/>
      <c r="G11" s="21"/>
      <c r="H11" s="21"/>
      <c r="I11" s="19"/>
      <c r="J11" s="13" t="s">
        <v>458</v>
      </c>
      <c r="K11" s="21"/>
    </row>
    <row r="12" customFormat="false" ht="24" hidden="false" customHeight="true" outlineLevel="0" collapsed="false">
      <c r="A12" s="8" t="s">
        <v>464</v>
      </c>
      <c r="B12" s="8" t="s">
        <v>461</v>
      </c>
      <c r="C12" s="19"/>
      <c r="D12" s="19"/>
      <c r="E12" s="19"/>
      <c r="F12" s="19"/>
      <c r="G12" s="21"/>
      <c r="H12" s="21"/>
      <c r="I12" s="19"/>
      <c r="J12" s="13" t="s">
        <v>458</v>
      </c>
      <c r="K12" s="21"/>
    </row>
    <row r="13" customFormat="false" ht="24" hidden="false" customHeight="true" outlineLevel="0" collapsed="false">
      <c r="A13" s="8" t="s">
        <v>464</v>
      </c>
      <c r="B13" s="8" t="s">
        <v>462</v>
      </c>
      <c r="C13" s="19"/>
      <c r="D13" s="19"/>
      <c r="E13" s="19"/>
      <c r="F13" s="19"/>
      <c r="G13" s="21"/>
      <c r="H13" s="21"/>
      <c r="I13" s="19"/>
      <c r="J13" s="13" t="s">
        <v>458</v>
      </c>
      <c r="K13" s="21"/>
    </row>
    <row r="14" customFormat="false" ht="24" hidden="false" customHeight="true" outlineLevel="0" collapsed="false">
      <c r="A14" s="8" t="s">
        <v>464</v>
      </c>
      <c r="B14" s="8" t="s">
        <v>463</v>
      </c>
      <c r="C14" s="19"/>
      <c r="D14" s="19"/>
      <c r="E14" s="19"/>
      <c r="F14" s="19"/>
      <c r="G14" s="21"/>
      <c r="H14" s="21"/>
      <c r="I14" s="19"/>
      <c r="J14" s="13" t="s">
        <v>458</v>
      </c>
      <c r="K14" s="21"/>
    </row>
    <row r="15" customFormat="false" ht="24" hidden="false" customHeight="true" outlineLevel="0" collapsed="false">
      <c r="A15" s="8" t="s">
        <v>465</v>
      </c>
      <c r="B15" s="8" t="s">
        <v>452</v>
      </c>
      <c r="C15" s="19"/>
      <c r="D15" s="19"/>
      <c r="E15" s="19"/>
      <c r="F15" s="19"/>
      <c r="G15" s="21"/>
      <c r="H15" s="21"/>
      <c r="I15" s="19"/>
      <c r="J15" s="13" t="s">
        <v>458</v>
      </c>
      <c r="K15" s="21"/>
    </row>
    <row r="16" customFormat="false" ht="24" hidden="false" customHeight="true" outlineLevel="0" collapsed="false">
      <c r="A16" s="8" t="s">
        <v>465</v>
      </c>
      <c r="B16" s="8" t="s">
        <v>460</v>
      </c>
      <c r="C16" s="19"/>
      <c r="D16" s="19"/>
      <c r="E16" s="19"/>
      <c r="F16" s="19"/>
      <c r="G16" s="21"/>
      <c r="H16" s="21"/>
      <c r="I16" s="19"/>
      <c r="J16" s="13" t="s">
        <v>458</v>
      </c>
      <c r="K16" s="21"/>
    </row>
    <row r="17" customFormat="false" ht="24" hidden="false" customHeight="true" outlineLevel="0" collapsed="false">
      <c r="A17" s="8" t="s">
        <v>465</v>
      </c>
      <c r="B17" s="8" t="s">
        <v>461</v>
      </c>
      <c r="C17" s="19"/>
      <c r="D17" s="19"/>
      <c r="E17" s="19"/>
      <c r="F17" s="19"/>
      <c r="G17" s="21"/>
      <c r="H17" s="21"/>
      <c r="I17" s="19"/>
      <c r="J17" s="13" t="s">
        <v>458</v>
      </c>
      <c r="K17" s="21"/>
    </row>
    <row r="18" customFormat="false" ht="24" hidden="false" customHeight="true" outlineLevel="0" collapsed="false">
      <c r="A18" s="8" t="s">
        <v>465</v>
      </c>
      <c r="B18" s="8" t="s">
        <v>462</v>
      </c>
      <c r="C18" s="19"/>
      <c r="D18" s="19"/>
      <c r="E18" s="19"/>
      <c r="F18" s="19"/>
      <c r="G18" s="21"/>
      <c r="H18" s="21"/>
      <c r="I18" s="19"/>
      <c r="J18" s="13" t="s">
        <v>458</v>
      </c>
      <c r="K18" s="21"/>
    </row>
    <row r="19" customFormat="false" ht="24" hidden="false" customHeight="true" outlineLevel="0" collapsed="false">
      <c r="A19" s="8" t="s">
        <v>465</v>
      </c>
      <c r="B19" s="8" t="s">
        <v>463</v>
      </c>
      <c r="C19" s="19"/>
      <c r="D19" s="19"/>
      <c r="E19" s="19"/>
      <c r="F19" s="19"/>
      <c r="G19" s="21"/>
      <c r="H19" s="21"/>
      <c r="I19" s="19"/>
      <c r="J19" s="13" t="s">
        <v>458</v>
      </c>
      <c r="K19" s="21"/>
    </row>
    <row r="20" customFormat="false" ht="24" hidden="false" customHeight="true" outlineLevel="0" collapsed="false">
      <c r="A20" s="8" t="s">
        <v>466</v>
      </c>
      <c r="B20" s="8" t="s">
        <v>452</v>
      </c>
      <c r="C20" s="19"/>
      <c r="D20" s="19"/>
      <c r="E20" s="19"/>
      <c r="F20" s="19"/>
      <c r="G20" s="21"/>
      <c r="H20" s="21"/>
      <c r="I20" s="19"/>
      <c r="J20" s="13" t="s">
        <v>458</v>
      </c>
      <c r="K20" s="21"/>
    </row>
    <row r="21" customFormat="false" ht="24" hidden="false" customHeight="true" outlineLevel="0" collapsed="false">
      <c r="A21" s="8" t="s">
        <v>466</v>
      </c>
      <c r="B21" s="8" t="s">
        <v>460</v>
      </c>
      <c r="C21" s="19"/>
      <c r="D21" s="19"/>
      <c r="E21" s="19"/>
      <c r="F21" s="19"/>
      <c r="G21" s="21"/>
      <c r="H21" s="21"/>
      <c r="I21" s="19"/>
      <c r="J21" s="13" t="s">
        <v>458</v>
      </c>
      <c r="K21" s="21"/>
    </row>
    <row r="22" customFormat="false" ht="24" hidden="false" customHeight="true" outlineLevel="0" collapsed="false">
      <c r="A22" s="8" t="s">
        <v>466</v>
      </c>
      <c r="B22" s="8" t="s">
        <v>461</v>
      </c>
      <c r="C22" s="19"/>
      <c r="D22" s="19"/>
      <c r="E22" s="19"/>
      <c r="F22" s="19"/>
      <c r="G22" s="21"/>
      <c r="H22" s="21"/>
      <c r="I22" s="19"/>
      <c r="J22" s="13" t="s">
        <v>458</v>
      </c>
      <c r="K22" s="21"/>
    </row>
    <row r="23" customFormat="false" ht="24" hidden="false" customHeight="true" outlineLevel="0" collapsed="false">
      <c r="A23" s="8" t="s">
        <v>466</v>
      </c>
      <c r="B23" s="8" t="s">
        <v>462</v>
      </c>
      <c r="C23" s="19"/>
      <c r="D23" s="19"/>
      <c r="E23" s="19"/>
      <c r="F23" s="19"/>
      <c r="G23" s="21"/>
      <c r="H23" s="21"/>
      <c r="I23" s="19"/>
      <c r="J23" s="13" t="s">
        <v>458</v>
      </c>
      <c r="K23" s="21"/>
    </row>
    <row r="24" customFormat="false" ht="24" hidden="false" customHeight="true" outlineLevel="0" collapsed="false">
      <c r="A24" s="8" t="s">
        <v>466</v>
      </c>
      <c r="B24" s="8" t="s">
        <v>463</v>
      </c>
      <c r="C24" s="19"/>
      <c r="D24" s="19"/>
      <c r="E24" s="19"/>
      <c r="F24" s="19"/>
      <c r="G24" s="21"/>
      <c r="H24" s="21"/>
      <c r="I24" s="19"/>
      <c r="J24" s="13" t="s">
        <v>458</v>
      </c>
      <c r="K24" s="21"/>
    </row>
    <row r="25" customFormat="false" ht="24" hidden="false" customHeight="true" outlineLevel="0" collapsed="false">
      <c r="A25" s="8" t="s">
        <v>467</v>
      </c>
      <c r="B25" s="8" t="s">
        <v>452</v>
      </c>
      <c r="C25" s="19"/>
      <c r="D25" s="19"/>
      <c r="E25" s="19"/>
      <c r="F25" s="19"/>
      <c r="G25" s="21"/>
      <c r="H25" s="21"/>
      <c r="I25" s="19"/>
      <c r="J25" s="13" t="s">
        <v>458</v>
      </c>
      <c r="K25" s="21"/>
    </row>
    <row r="26" customFormat="false" ht="24" hidden="false" customHeight="true" outlineLevel="0" collapsed="false">
      <c r="A26" s="8" t="s">
        <v>467</v>
      </c>
      <c r="B26" s="8" t="s">
        <v>460</v>
      </c>
      <c r="C26" s="19"/>
      <c r="D26" s="19"/>
      <c r="E26" s="19"/>
      <c r="F26" s="19"/>
      <c r="G26" s="21"/>
      <c r="H26" s="21"/>
      <c r="I26" s="19"/>
      <c r="J26" s="13" t="s">
        <v>458</v>
      </c>
      <c r="K26" s="21"/>
    </row>
    <row r="27" customFormat="false" ht="24" hidden="false" customHeight="true" outlineLevel="0" collapsed="false">
      <c r="A27" s="8" t="s">
        <v>467</v>
      </c>
      <c r="B27" s="8" t="s">
        <v>461</v>
      </c>
      <c r="C27" s="19"/>
      <c r="D27" s="19"/>
      <c r="E27" s="19"/>
      <c r="F27" s="19"/>
      <c r="G27" s="21"/>
      <c r="H27" s="21"/>
      <c r="I27" s="19"/>
      <c r="J27" s="13" t="s">
        <v>458</v>
      </c>
      <c r="K27" s="21"/>
    </row>
    <row r="28" customFormat="false" ht="24" hidden="false" customHeight="true" outlineLevel="0" collapsed="false">
      <c r="A28" s="8" t="s">
        <v>467</v>
      </c>
      <c r="B28" s="8" t="s">
        <v>462</v>
      </c>
      <c r="C28" s="19"/>
      <c r="D28" s="19"/>
      <c r="E28" s="19"/>
      <c r="F28" s="19"/>
      <c r="G28" s="21"/>
      <c r="H28" s="21"/>
      <c r="I28" s="19"/>
      <c r="J28" s="13" t="s">
        <v>458</v>
      </c>
      <c r="K28" s="21"/>
    </row>
    <row r="29" customFormat="false" ht="24" hidden="false" customHeight="true" outlineLevel="0" collapsed="false">
      <c r="A29" s="8" t="s">
        <v>467</v>
      </c>
      <c r="B29" s="8" t="s">
        <v>463</v>
      </c>
      <c r="C29" s="19"/>
      <c r="D29" s="19"/>
      <c r="E29" s="19"/>
      <c r="F29" s="19"/>
      <c r="G29" s="21"/>
      <c r="H29" s="21"/>
      <c r="I29" s="19"/>
      <c r="J29" s="13" t="s">
        <v>458</v>
      </c>
      <c r="K29" s="21"/>
    </row>
  </sheetData>
  <mergeCells count="2">
    <mergeCell ref="A1:K1"/>
    <mergeCell ref="F2:K2"/>
  </mergeCells>
  <dataValidations count="4">
    <dataValidation allowBlank="true" errorStyle="stop" operator="between" showDropDown="false" showErrorMessage="false" showInputMessage="false" sqref="B2" type="list">
      <formula1>"Bruno,Jerry,Iasmin,Julia,Rio (vaga),Community,Marketing"</formula1>
      <formula2>0</formula2>
    </dataValidation>
    <dataValidation allowBlank="true" errorStyle="stop" operator="between" showDropDown="false" showErrorMessage="false" showInputMessage="false" sqref="E5:E29" type="list">
      <formula1>"Castelo,Hotzone,Área Turística,Orla,Cena,Grupo,Alta energia"</formula1>
      <formula2>0</formula2>
    </dataValidation>
    <dataValidation allowBlank="true" errorStyle="stop" operator="between" showDropDown="false" showErrorMessage="false" showInputMessage="false" sqref="F5:F29" type="list">
      <formula1>"Perfect Serve,-18°C,Frio/tap,Visibilidade,Cardápio,Ativação,Treinamento,Contrato,Prospecção,Recompra"</formula1>
      <formula2>0</formula2>
    </dataValidation>
    <dataValidation allowBlank="true" errorStyle="stop" operator="between" showDropDown="false" showErrorMessage="false" showInputMessage="false" sqref="J5:J29" type="list">
      <formula1>"Planejado,Confirmado,Feito,Reagendado,Cancelado"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4" min="3" style="1" width="15"/>
    <col collapsed="false" customWidth="true" hidden="false" outlineLevel="0" max="7" min="5" style="1" width="14"/>
    <col collapsed="false" customWidth="true" hidden="false" outlineLevel="0" max="8" min="8" style="1" width="8"/>
    <col collapsed="false" customWidth="true" hidden="false" outlineLevel="0" max="9" min="9" style="1" width="7"/>
    <col collapsed="false" customWidth="true" hidden="false" outlineLevel="0" max="10" min="10" style="1" width="9"/>
    <col collapsed="false" customWidth="true" hidden="false" outlineLevel="0" max="12" min="11" style="1" width="12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6" min="15" style="1" width="12"/>
    <col collapsed="false" customWidth="true" hidden="false" outlineLevel="0" max="17" min="17" style="1" width="9"/>
    <col collapsed="false" customWidth="true" hidden="false" outlineLevel="0" max="18" min="18" style="1" width="14"/>
    <col collapsed="false" customWidth="true" hidden="false" outlineLevel="0" max="19" min="19" style="1" width="7"/>
    <col collapsed="false" customWidth="true" hidden="false" outlineLevel="0" max="20" min="20" style="1" width="9"/>
    <col collapsed="false" customWidth="true" hidden="false" outlineLevel="0" max="21" min="21" style="1" width="28"/>
    <col collapsed="false" customWidth="true" hidden="false" outlineLevel="0" max="22" min="22" style="1" width="12"/>
  </cols>
  <sheetData>
    <row r="1" customFormat="false" ht="30" hidden="false" customHeight="true" outlineLevel="0" collapsed="false">
      <c r="A1" s="31" t="s">
        <v>468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</row>
    <row r="2" customFormat="false" ht="21.75" hidden="false" customHeight="true" outlineLevel="0" collapsed="false">
      <c r="A2" s="33" t="s">
        <v>469</v>
      </c>
      <c r="B2" s="33" t="s">
        <v>346</v>
      </c>
      <c r="C2" s="33" t="s">
        <v>470</v>
      </c>
      <c r="D2" s="33" t="s">
        <v>471</v>
      </c>
      <c r="E2" s="33" t="s">
        <v>367</v>
      </c>
      <c r="F2" s="33" t="s">
        <v>368</v>
      </c>
      <c r="G2" s="33" t="s">
        <v>370</v>
      </c>
      <c r="H2" s="33" t="s">
        <v>472</v>
      </c>
      <c r="I2" s="33" t="s">
        <v>473</v>
      </c>
      <c r="J2" s="33" t="s">
        <v>474</v>
      </c>
      <c r="K2" s="33" t="s">
        <v>475</v>
      </c>
      <c r="L2" s="33" t="s">
        <v>476</v>
      </c>
      <c r="M2" s="33" t="s">
        <v>477</v>
      </c>
      <c r="N2" s="33" t="s">
        <v>57</v>
      </c>
      <c r="O2" s="33" t="s">
        <v>478</v>
      </c>
      <c r="P2" s="33" t="s">
        <v>479</v>
      </c>
      <c r="Q2" s="33" t="s">
        <v>480</v>
      </c>
      <c r="R2" s="33" t="s">
        <v>481</v>
      </c>
      <c r="S2" s="33" t="s">
        <v>482</v>
      </c>
      <c r="T2" s="33" t="s">
        <v>483</v>
      </c>
      <c r="U2" s="33" t="s">
        <v>60</v>
      </c>
      <c r="V2" s="33" t="s">
        <v>484</v>
      </c>
    </row>
    <row r="3" customFormat="false" ht="24" hidden="false" customHeight="true" outlineLevel="0" collapsed="false">
      <c r="A3" s="45" t="s">
        <v>485</v>
      </c>
      <c r="B3" s="12" t="s">
        <v>73</v>
      </c>
      <c r="C3" s="13" t="s">
        <v>486</v>
      </c>
      <c r="D3" s="13" t="s">
        <v>487</v>
      </c>
      <c r="E3" s="45" t="n">
        <v>4</v>
      </c>
      <c r="F3" s="45" t="s">
        <v>488</v>
      </c>
      <c r="G3" s="45" t="s">
        <v>489</v>
      </c>
      <c r="H3" s="46" t="n">
        <v>80</v>
      </c>
      <c r="I3" s="46" t="n">
        <v>12</v>
      </c>
      <c r="J3" s="45" t="n">
        <f aca="false">H3*I3</f>
        <v>960</v>
      </c>
      <c r="K3" s="53" t="n">
        <f aca="false">J3*20</f>
        <v>19200</v>
      </c>
      <c r="L3" s="53" t="n">
        <f aca="false">J3*30</f>
        <v>28800</v>
      </c>
      <c r="M3" s="20"/>
      <c r="N3" s="53" t="n">
        <f aca="false">IF(M3="",K3,M3)</f>
        <v>19200</v>
      </c>
      <c r="O3" s="53" t="n">
        <f aca="false">N3*0.25</f>
        <v>4800</v>
      </c>
      <c r="P3" s="53" t="n">
        <f aca="false">N3*0.75</f>
        <v>14400</v>
      </c>
      <c r="Q3" s="54" t="n">
        <f aca="false">IF(J3=0,"",N3/J3)</f>
        <v>20</v>
      </c>
      <c r="R3" s="45" t="str">
        <f aca="false">IF(J3=0,"—",IF(N3/J3&lt;=20,"OK ideal",IF(N3/J3&lt;=30,"Dentro do teto","Acima do teto")))</f>
        <v>OK ideal</v>
      </c>
      <c r="S3" s="55" t="n">
        <v>0.35</v>
      </c>
      <c r="T3" s="56" t="n">
        <f aca="false">J3*S3</f>
        <v>336</v>
      </c>
      <c r="U3" s="21" t="s">
        <v>490</v>
      </c>
      <c r="V3" s="46" t="s">
        <v>159</v>
      </c>
    </row>
    <row r="4" customFormat="false" ht="24" hidden="false" customHeight="true" outlineLevel="0" collapsed="false">
      <c r="A4" s="45" t="s">
        <v>485</v>
      </c>
      <c r="B4" s="12" t="s">
        <v>491</v>
      </c>
      <c r="C4" s="13" t="s">
        <v>486</v>
      </c>
      <c r="D4" s="13" t="s">
        <v>492</v>
      </c>
      <c r="E4" s="45" t="n">
        <v>4</v>
      </c>
      <c r="F4" s="45" t="s">
        <v>375</v>
      </c>
      <c r="G4" s="45" t="s">
        <v>69</v>
      </c>
      <c r="H4" s="46" t="n">
        <v>70</v>
      </c>
      <c r="I4" s="46" t="n">
        <v>12</v>
      </c>
      <c r="J4" s="45" t="n">
        <f aca="false">H4*I4</f>
        <v>840</v>
      </c>
      <c r="K4" s="53" t="n">
        <f aca="false">J4*20</f>
        <v>16800</v>
      </c>
      <c r="L4" s="53" t="n">
        <f aca="false">J4*30</f>
        <v>25200</v>
      </c>
      <c r="M4" s="20"/>
      <c r="N4" s="53" t="n">
        <f aca="false">IF(M4="",K4,M4)</f>
        <v>16800</v>
      </c>
      <c r="O4" s="53" t="n">
        <f aca="false">N4*0.25</f>
        <v>4200</v>
      </c>
      <c r="P4" s="53" t="n">
        <f aca="false">N4*0.75</f>
        <v>12600</v>
      </c>
      <c r="Q4" s="54" t="n">
        <f aca="false">IF(J4=0,"",N4/J4)</f>
        <v>20</v>
      </c>
      <c r="R4" s="45" t="str">
        <f aca="false">IF(J4=0,"—",IF(N4/J4&lt;=20,"OK ideal",IF(N4/J4&lt;=30,"Dentro do teto","Acima do teto")))</f>
        <v>OK ideal</v>
      </c>
      <c r="S4" s="55" t="n">
        <v>0.4</v>
      </c>
      <c r="T4" s="56" t="n">
        <f aca="false">J4*S4</f>
        <v>336</v>
      </c>
      <c r="U4" s="21" t="s">
        <v>493</v>
      </c>
      <c r="V4" s="46" t="s">
        <v>159</v>
      </c>
    </row>
    <row r="5" customFormat="false" ht="24" hidden="false" customHeight="true" outlineLevel="0" collapsed="false">
      <c r="A5" s="45" t="s">
        <v>485</v>
      </c>
      <c r="B5" s="12" t="s">
        <v>494</v>
      </c>
      <c r="C5" s="13" t="s">
        <v>486</v>
      </c>
      <c r="D5" s="13" t="s">
        <v>85</v>
      </c>
      <c r="E5" s="45" t="n">
        <v>3</v>
      </c>
      <c r="F5" s="45" t="s">
        <v>495</v>
      </c>
      <c r="G5" s="45" t="s">
        <v>489</v>
      </c>
      <c r="H5" s="46" t="n">
        <v>30</v>
      </c>
      <c r="I5" s="46" t="n">
        <v>12</v>
      </c>
      <c r="J5" s="45" t="n">
        <f aca="false">H5*I5</f>
        <v>360</v>
      </c>
      <c r="K5" s="53" t="n">
        <f aca="false">J5*20</f>
        <v>7200</v>
      </c>
      <c r="L5" s="53" t="n">
        <f aca="false">J5*30</f>
        <v>10800</v>
      </c>
      <c r="M5" s="20"/>
      <c r="N5" s="53" t="n">
        <f aca="false">IF(M5="",K5,M5)</f>
        <v>7200</v>
      </c>
      <c r="O5" s="53" t="n">
        <f aca="false">N5*0.25</f>
        <v>1800</v>
      </c>
      <c r="P5" s="53" t="n">
        <f aca="false">N5*0.75</f>
        <v>5400</v>
      </c>
      <c r="Q5" s="54" t="n">
        <f aca="false">IF(J5=0,"",N5/J5)</f>
        <v>20</v>
      </c>
      <c r="R5" s="45" t="str">
        <f aca="false">IF(J5=0,"—",IF(N5/J5&lt;=20,"OK ideal",IF(N5/J5&lt;=30,"Dentro do teto","Acima do teto")))</f>
        <v>OK ideal</v>
      </c>
      <c r="S5" s="55" t="n">
        <v>0.3</v>
      </c>
      <c r="T5" s="56" t="n">
        <f aca="false">J5*S5</f>
        <v>108</v>
      </c>
      <c r="U5" s="21" t="s">
        <v>496</v>
      </c>
      <c r="V5" s="46" t="s">
        <v>159</v>
      </c>
    </row>
    <row r="6" customFormat="false" ht="24" hidden="false" customHeight="true" outlineLevel="0" collapsed="false">
      <c r="A6" s="45" t="s">
        <v>485</v>
      </c>
      <c r="B6" s="12" t="s">
        <v>103</v>
      </c>
      <c r="C6" s="13" t="s">
        <v>497</v>
      </c>
      <c r="D6" s="13" t="s">
        <v>498</v>
      </c>
      <c r="E6" s="45" t="n">
        <v>4</v>
      </c>
      <c r="F6" s="45" t="s">
        <v>375</v>
      </c>
      <c r="G6" s="45" t="s">
        <v>69</v>
      </c>
      <c r="H6" s="19"/>
      <c r="I6" s="46" t="n">
        <v>12</v>
      </c>
      <c r="J6" s="45" t="n">
        <f aca="false">H6*I6</f>
        <v>0</v>
      </c>
      <c r="K6" s="53" t="n">
        <f aca="false">J6*20</f>
        <v>0</v>
      </c>
      <c r="L6" s="53" t="n">
        <f aca="false">J6*30</f>
        <v>0</v>
      </c>
      <c r="M6" s="20"/>
      <c r="N6" s="53" t="n">
        <f aca="false">IF(M6="",K6,M6)</f>
        <v>0</v>
      </c>
      <c r="O6" s="53" t="n">
        <f aca="false">N6*0.25</f>
        <v>0</v>
      </c>
      <c r="P6" s="53" t="n">
        <f aca="false">N6*0.75</f>
        <v>0</v>
      </c>
      <c r="Q6" s="54" t="str">
        <f aca="false">IF(J6=0,"",N6/J6)</f>
        <v/>
      </c>
      <c r="R6" s="45" t="str">
        <f aca="false">IF(J6=0,"—",IF(N6/J6&lt;=20,"OK ideal",IF(N6/J6&lt;=30,"Dentro do teto","Acima do teto")))</f>
        <v>—</v>
      </c>
      <c r="S6" s="55" t="n">
        <v>0.55</v>
      </c>
      <c r="T6" s="56" t="n">
        <f aca="false">J6*S6</f>
        <v>0</v>
      </c>
      <c r="U6" s="21" t="s">
        <v>499</v>
      </c>
      <c r="V6" s="46" t="s">
        <v>500</v>
      </c>
    </row>
    <row r="7" customFormat="false" ht="24" hidden="false" customHeight="true" outlineLevel="0" collapsed="false">
      <c r="A7" s="45" t="s">
        <v>485</v>
      </c>
      <c r="B7" s="12" t="s">
        <v>501</v>
      </c>
      <c r="C7" s="13" t="s">
        <v>486</v>
      </c>
      <c r="D7" s="13" t="s">
        <v>502</v>
      </c>
      <c r="E7" s="45" t="n">
        <v>3</v>
      </c>
      <c r="F7" s="45" t="s">
        <v>495</v>
      </c>
      <c r="G7" s="45" t="s">
        <v>503</v>
      </c>
      <c r="H7" s="19"/>
      <c r="I7" s="46" t="n">
        <v>12</v>
      </c>
      <c r="J7" s="45" t="n">
        <f aca="false">H7*I7</f>
        <v>0</v>
      </c>
      <c r="K7" s="53" t="n">
        <f aca="false">J7*20</f>
        <v>0</v>
      </c>
      <c r="L7" s="53" t="n">
        <f aca="false">J7*30</f>
        <v>0</v>
      </c>
      <c r="M7" s="20"/>
      <c r="N7" s="53" t="n">
        <f aca="false">IF(M7="",K7,M7)</f>
        <v>0</v>
      </c>
      <c r="O7" s="53" t="n">
        <f aca="false">N7*0.25</f>
        <v>0</v>
      </c>
      <c r="P7" s="53" t="n">
        <f aca="false">N7*0.75</f>
        <v>0</v>
      </c>
      <c r="Q7" s="54" t="str">
        <f aca="false">IF(J7=0,"",N7/J7)</f>
        <v/>
      </c>
      <c r="R7" s="45" t="str">
        <f aca="false">IF(J7=0,"—",IF(N7/J7&lt;=20,"OK ideal",IF(N7/J7&lt;=30,"Dentro do teto","Acima do teto")))</f>
        <v>—</v>
      </c>
      <c r="S7" s="55" t="n">
        <v>0.25</v>
      </c>
      <c r="T7" s="56" t="n">
        <f aca="false">J7*S7</f>
        <v>0</v>
      </c>
      <c r="U7" s="21" t="s">
        <v>504</v>
      </c>
      <c r="V7" s="46" t="s">
        <v>159</v>
      </c>
    </row>
    <row r="8" customFormat="false" ht="24" hidden="false" customHeight="true" outlineLevel="0" collapsed="false">
      <c r="A8" s="45" t="s">
        <v>485</v>
      </c>
      <c r="B8" s="12" t="s">
        <v>505</v>
      </c>
      <c r="C8" s="13" t="s">
        <v>506</v>
      </c>
      <c r="D8" s="13" t="s">
        <v>492</v>
      </c>
      <c r="E8" s="45" t="n">
        <v>4</v>
      </c>
      <c r="F8" s="45" t="s">
        <v>375</v>
      </c>
      <c r="G8" s="45" t="s">
        <v>503</v>
      </c>
      <c r="H8" s="19"/>
      <c r="I8" s="46" t="n">
        <v>12</v>
      </c>
      <c r="J8" s="45" t="n">
        <f aca="false">H8*I8</f>
        <v>0</v>
      </c>
      <c r="K8" s="53" t="n">
        <f aca="false">J8*20</f>
        <v>0</v>
      </c>
      <c r="L8" s="53" t="n">
        <f aca="false">J8*30</f>
        <v>0</v>
      </c>
      <c r="M8" s="20"/>
      <c r="N8" s="53" t="n">
        <f aca="false">IF(M8="",K8,M8)</f>
        <v>0</v>
      </c>
      <c r="O8" s="53" t="n">
        <f aca="false">N8*0.25</f>
        <v>0</v>
      </c>
      <c r="P8" s="53" t="n">
        <f aca="false">N8*0.75</f>
        <v>0</v>
      </c>
      <c r="Q8" s="54" t="str">
        <f aca="false">IF(J8=0,"",N8/J8)</f>
        <v/>
      </c>
      <c r="R8" s="45" t="str">
        <f aca="false">IF(J8=0,"—",IF(N8/J8&lt;=20,"OK ideal",IF(N8/J8&lt;=30,"Dentro do teto","Acima do teto")))</f>
        <v>—</v>
      </c>
      <c r="S8" s="55" t="n">
        <v>0.35</v>
      </c>
      <c r="T8" s="56" t="n">
        <f aca="false">J8*S8</f>
        <v>0</v>
      </c>
      <c r="U8" s="21" t="s">
        <v>507</v>
      </c>
      <c r="V8" s="46" t="s">
        <v>159</v>
      </c>
    </row>
    <row r="9" customFormat="false" ht="24" hidden="false" customHeight="true" outlineLevel="0" collapsed="false">
      <c r="A9" s="45" t="s">
        <v>485</v>
      </c>
      <c r="B9" s="12" t="s">
        <v>508</v>
      </c>
      <c r="C9" s="13" t="s">
        <v>509</v>
      </c>
      <c r="D9" s="13" t="s">
        <v>85</v>
      </c>
      <c r="E9" s="45" t="n">
        <v>4</v>
      </c>
      <c r="F9" s="45" t="s">
        <v>375</v>
      </c>
      <c r="G9" s="45" t="s">
        <v>69</v>
      </c>
      <c r="H9" s="19"/>
      <c r="I9" s="46" t="n">
        <v>12</v>
      </c>
      <c r="J9" s="45" t="n">
        <f aca="false">H9*I9</f>
        <v>0</v>
      </c>
      <c r="K9" s="53" t="n">
        <f aca="false">J9*20</f>
        <v>0</v>
      </c>
      <c r="L9" s="53" t="n">
        <f aca="false">J9*30</f>
        <v>0</v>
      </c>
      <c r="M9" s="20"/>
      <c r="N9" s="53" t="n">
        <f aca="false">IF(M9="",K9,M9)</f>
        <v>0</v>
      </c>
      <c r="O9" s="53" t="n">
        <f aca="false">N9*0.25</f>
        <v>0</v>
      </c>
      <c r="P9" s="53" t="n">
        <f aca="false">N9*0.75</f>
        <v>0</v>
      </c>
      <c r="Q9" s="54" t="str">
        <f aca="false">IF(J9=0,"",N9/J9)</f>
        <v/>
      </c>
      <c r="R9" s="45" t="str">
        <f aca="false">IF(J9=0,"—",IF(N9/J9&lt;=20,"OK ideal",IF(N9/J9&lt;=30,"Dentro do teto","Acima do teto")))</f>
        <v>—</v>
      </c>
      <c r="S9" s="55" t="n">
        <v>0.4</v>
      </c>
      <c r="T9" s="56" t="n">
        <f aca="false">J9*S9</f>
        <v>0</v>
      </c>
      <c r="U9" s="21" t="s">
        <v>510</v>
      </c>
      <c r="V9" s="46" t="s">
        <v>159</v>
      </c>
    </row>
    <row r="10" customFormat="false" ht="24" hidden="false" customHeight="true" outlineLevel="0" collapsed="false">
      <c r="A10" s="45" t="s">
        <v>485</v>
      </c>
      <c r="B10" s="12" t="s">
        <v>511</v>
      </c>
      <c r="C10" s="13" t="s">
        <v>486</v>
      </c>
      <c r="D10" s="13" t="s">
        <v>492</v>
      </c>
      <c r="E10" s="45" t="n">
        <v>4</v>
      </c>
      <c r="F10" s="45" t="s">
        <v>375</v>
      </c>
      <c r="G10" s="45" t="s">
        <v>69</v>
      </c>
      <c r="H10" s="19"/>
      <c r="I10" s="46" t="n">
        <v>12</v>
      </c>
      <c r="J10" s="45" t="n">
        <f aca="false">H10*I10</f>
        <v>0</v>
      </c>
      <c r="K10" s="53" t="n">
        <f aca="false">J10*20</f>
        <v>0</v>
      </c>
      <c r="L10" s="53" t="n">
        <f aca="false">J10*30</f>
        <v>0</v>
      </c>
      <c r="M10" s="20"/>
      <c r="N10" s="53" t="n">
        <f aca="false">IF(M10="",K10,M10)</f>
        <v>0</v>
      </c>
      <c r="O10" s="53" t="n">
        <f aca="false">N10*0.25</f>
        <v>0</v>
      </c>
      <c r="P10" s="53" t="n">
        <f aca="false">N10*0.75</f>
        <v>0</v>
      </c>
      <c r="Q10" s="54" t="str">
        <f aca="false">IF(J10=0,"",N10/J10)</f>
        <v/>
      </c>
      <c r="R10" s="45" t="str">
        <f aca="false">IF(J10=0,"—",IF(N10/J10&lt;=20,"OK ideal",IF(N10/J10&lt;=30,"Dentro do teto","Acima do teto")))</f>
        <v>—</v>
      </c>
      <c r="S10" s="55" t="n">
        <v>0.45</v>
      </c>
      <c r="T10" s="56" t="n">
        <f aca="false">J10*S10</f>
        <v>0</v>
      </c>
      <c r="U10" s="21" t="s">
        <v>512</v>
      </c>
      <c r="V10" s="46" t="s">
        <v>159</v>
      </c>
    </row>
    <row r="11" customFormat="false" ht="24" hidden="false" customHeight="true" outlineLevel="0" collapsed="false">
      <c r="A11" s="45" t="s">
        <v>485</v>
      </c>
      <c r="B11" s="12" t="s">
        <v>513</v>
      </c>
      <c r="C11" s="13" t="s">
        <v>486</v>
      </c>
      <c r="D11" s="13" t="s">
        <v>85</v>
      </c>
      <c r="E11" s="45" t="n">
        <v>4</v>
      </c>
      <c r="F11" s="45" t="s">
        <v>375</v>
      </c>
      <c r="G11" s="45" t="s">
        <v>503</v>
      </c>
      <c r="H11" s="19"/>
      <c r="I11" s="46" t="n">
        <v>12</v>
      </c>
      <c r="J11" s="45" t="n">
        <f aca="false">H11*I11</f>
        <v>0</v>
      </c>
      <c r="K11" s="53" t="n">
        <f aca="false">J11*20</f>
        <v>0</v>
      </c>
      <c r="L11" s="53" t="n">
        <f aca="false">J11*30</f>
        <v>0</v>
      </c>
      <c r="M11" s="20"/>
      <c r="N11" s="53" t="n">
        <f aca="false">IF(M11="",K11,M11)</f>
        <v>0</v>
      </c>
      <c r="O11" s="53" t="n">
        <f aca="false">N11*0.25</f>
        <v>0</v>
      </c>
      <c r="P11" s="53" t="n">
        <f aca="false">N11*0.75</f>
        <v>0</v>
      </c>
      <c r="Q11" s="54" t="str">
        <f aca="false">IF(J11=0,"",N11/J11)</f>
        <v/>
      </c>
      <c r="R11" s="45" t="str">
        <f aca="false">IF(J11=0,"—",IF(N11/J11&lt;=20,"OK ideal",IF(N11/J11&lt;=30,"Dentro do teto","Acima do teto")))</f>
        <v>—</v>
      </c>
      <c r="S11" s="55" t="n">
        <v>0.3</v>
      </c>
      <c r="T11" s="56" t="n">
        <f aca="false">J11*S11</f>
        <v>0</v>
      </c>
      <c r="U11" s="21" t="s">
        <v>514</v>
      </c>
      <c r="V11" s="46" t="s">
        <v>159</v>
      </c>
    </row>
    <row r="12" customFormat="false" ht="24" hidden="false" customHeight="true" outlineLevel="0" collapsed="false">
      <c r="A12" s="45" t="s">
        <v>485</v>
      </c>
      <c r="B12" s="12" t="s">
        <v>515</v>
      </c>
      <c r="C12" s="13" t="s">
        <v>516</v>
      </c>
      <c r="D12" s="13" t="s">
        <v>85</v>
      </c>
      <c r="E12" s="45" t="n">
        <v>5</v>
      </c>
      <c r="F12" s="45" t="s">
        <v>375</v>
      </c>
      <c r="G12" s="45" t="s">
        <v>503</v>
      </c>
      <c r="H12" s="19"/>
      <c r="I12" s="46" t="n">
        <v>12</v>
      </c>
      <c r="J12" s="45" t="n">
        <f aca="false">H12*I12</f>
        <v>0</v>
      </c>
      <c r="K12" s="53" t="n">
        <f aca="false">J12*20</f>
        <v>0</v>
      </c>
      <c r="L12" s="53" t="n">
        <f aca="false">J12*30</f>
        <v>0</v>
      </c>
      <c r="M12" s="20"/>
      <c r="N12" s="53" t="n">
        <f aca="false">IF(M12="",K12,M12)</f>
        <v>0</v>
      </c>
      <c r="O12" s="53" t="n">
        <f aca="false">N12*0.25</f>
        <v>0</v>
      </c>
      <c r="P12" s="53" t="n">
        <f aca="false">N12*0.75</f>
        <v>0</v>
      </c>
      <c r="Q12" s="54" t="str">
        <f aca="false">IF(J12=0,"",N12/J12)</f>
        <v/>
      </c>
      <c r="R12" s="45" t="str">
        <f aca="false">IF(J12=0,"—",IF(N12/J12&lt;=20,"OK ideal",IF(N12/J12&lt;=30,"Dentro do teto","Acima do teto")))</f>
        <v>—</v>
      </c>
      <c r="S12" s="55" t="n">
        <v>0.35</v>
      </c>
      <c r="T12" s="56" t="n">
        <f aca="false">J12*S12</f>
        <v>0</v>
      </c>
      <c r="U12" s="21" t="s">
        <v>517</v>
      </c>
      <c r="V12" s="46" t="s">
        <v>159</v>
      </c>
    </row>
    <row r="13" customFormat="false" ht="24" hidden="false" customHeight="true" outlineLevel="0" collapsed="false">
      <c r="A13" s="45" t="s">
        <v>485</v>
      </c>
      <c r="B13" s="12" t="s">
        <v>518</v>
      </c>
      <c r="C13" s="13" t="s">
        <v>486</v>
      </c>
      <c r="D13" s="13" t="s">
        <v>85</v>
      </c>
      <c r="E13" s="45" t="n">
        <v>4</v>
      </c>
      <c r="F13" s="45" t="s">
        <v>375</v>
      </c>
      <c r="G13" s="45" t="s">
        <v>503</v>
      </c>
      <c r="H13" s="19"/>
      <c r="I13" s="46" t="n">
        <v>12</v>
      </c>
      <c r="J13" s="45" t="n">
        <f aca="false">H13*I13</f>
        <v>0</v>
      </c>
      <c r="K13" s="53" t="n">
        <f aca="false">J13*20</f>
        <v>0</v>
      </c>
      <c r="L13" s="53" t="n">
        <f aca="false">J13*30</f>
        <v>0</v>
      </c>
      <c r="M13" s="20"/>
      <c r="N13" s="53" t="n">
        <f aca="false">IF(M13="",K13,M13)</f>
        <v>0</v>
      </c>
      <c r="O13" s="53" t="n">
        <f aca="false">N13*0.25</f>
        <v>0</v>
      </c>
      <c r="P13" s="53" t="n">
        <f aca="false">N13*0.75</f>
        <v>0</v>
      </c>
      <c r="Q13" s="54" t="str">
        <f aca="false">IF(J13=0,"",N13/J13)</f>
        <v/>
      </c>
      <c r="R13" s="45" t="str">
        <f aca="false">IF(J13=0,"—",IF(N13/J13&lt;=20,"OK ideal",IF(N13/J13&lt;=30,"Dentro do teto","Acima do teto")))</f>
        <v>—</v>
      </c>
      <c r="S13" s="55" t="n">
        <v>0.3</v>
      </c>
      <c r="T13" s="56" t="n">
        <f aca="false">J13*S13</f>
        <v>0</v>
      </c>
      <c r="U13" s="21" t="s">
        <v>519</v>
      </c>
      <c r="V13" s="46" t="s">
        <v>520</v>
      </c>
    </row>
    <row r="14" customFormat="false" ht="24" hidden="false" customHeight="true" outlineLevel="0" collapsed="false">
      <c r="A14" s="45" t="s">
        <v>485</v>
      </c>
      <c r="B14" s="12" t="s">
        <v>521</v>
      </c>
      <c r="C14" s="13" t="s">
        <v>486</v>
      </c>
      <c r="D14" s="13" t="s">
        <v>85</v>
      </c>
      <c r="E14" s="45" t="n">
        <v>4</v>
      </c>
      <c r="F14" s="45" t="s">
        <v>375</v>
      </c>
      <c r="G14" s="45" t="s">
        <v>503</v>
      </c>
      <c r="H14" s="19"/>
      <c r="I14" s="46" t="n">
        <v>12</v>
      </c>
      <c r="J14" s="45" t="n">
        <f aca="false">H14*I14</f>
        <v>0</v>
      </c>
      <c r="K14" s="53" t="n">
        <f aca="false">J14*20</f>
        <v>0</v>
      </c>
      <c r="L14" s="53" t="n">
        <f aca="false">J14*30</f>
        <v>0</v>
      </c>
      <c r="M14" s="20"/>
      <c r="N14" s="53" t="n">
        <f aca="false">IF(M14="",K14,M14)</f>
        <v>0</v>
      </c>
      <c r="O14" s="53" t="n">
        <f aca="false">N14*0.25</f>
        <v>0</v>
      </c>
      <c r="P14" s="53" t="n">
        <f aca="false">N14*0.75</f>
        <v>0</v>
      </c>
      <c r="Q14" s="54" t="str">
        <f aca="false">IF(J14=0,"",N14/J14)</f>
        <v/>
      </c>
      <c r="R14" s="45" t="str">
        <f aca="false">IF(J14=0,"—",IF(N14/J14&lt;=20,"OK ideal",IF(N14/J14&lt;=30,"Dentro do teto","Acima do teto")))</f>
        <v>—</v>
      </c>
      <c r="S14" s="55" t="n">
        <v>0.3</v>
      </c>
      <c r="T14" s="56" t="n">
        <f aca="false">J14*S14</f>
        <v>0</v>
      </c>
      <c r="U14" s="21" t="s">
        <v>522</v>
      </c>
      <c r="V14" s="46" t="s">
        <v>520</v>
      </c>
    </row>
    <row r="15" customFormat="false" ht="24" hidden="false" customHeight="true" outlineLevel="0" collapsed="false">
      <c r="A15" s="45" t="s">
        <v>485</v>
      </c>
      <c r="B15" s="12" t="s">
        <v>319</v>
      </c>
      <c r="C15" s="13" t="s">
        <v>523</v>
      </c>
      <c r="D15" s="13" t="s">
        <v>524</v>
      </c>
      <c r="E15" s="45" t="n">
        <v>4</v>
      </c>
      <c r="F15" s="45" t="s">
        <v>375</v>
      </c>
      <c r="G15" s="45" t="s">
        <v>489</v>
      </c>
      <c r="H15" s="19"/>
      <c r="I15" s="46" t="n">
        <v>12</v>
      </c>
      <c r="J15" s="45" t="n">
        <f aca="false">H15*I15</f>
        <v>0</v>
      </c>
      <c r="K15" s="53" t="n">
        <f aca="false">J15*20</f>
        <v>0</v>
      </c>
      <c r="L15" s="53" t="n">
        <f aca="false">J15*30</f>
        <v>0</v>
      </c>
      <c r="M15" s="20"/>
      <c r="N15" s="53" t="n">
        <f aca="false">IF(M15="",K15,M15)</f>
        <v>0</v>
      </c>
      <c r="O15" s="53" t="n">
        <f aca="false">N15*0.25</f>
        <v>0</v>
      </c>
      <c r="P15" s="53" t="n">
        <f aca="false">N15*0.75</f>
        <v>0</v>
      </c>
      <c r="Q15" s="54" t="str">
        <f aca="false">IF(J15=0,"",N15/J15)</f>
        <v/>
      </c>
      <c r="R15" s="45" t="str">
        <f aca="false">IF(J15=0,"—",IF(N15/J15&lt;=20,"OK ideal",IF(N15/J15&lt;=30,"Dentro do teto","Acima do teto")))</f>
        <v>—</v>
      </c>
      <c r="S15" s="55" t="n">
        <v>0.4</v>
      </c>
      <c r="T15" s="56" t="n">
        <f aca="false">J15*S15</f>
        <v>0</v>
      </c>
      <c r="U15" s="21" t="s">
        <v>525</v>
      </c>
      <c r="V15" s="46" t="s">
        <v>159</v>
      </c>
    </row>
    <row r="16" customFormat="false" ht="24" hidden="false" customHeight="true" outlineLevel="0" collapsed="false">
      <c r="A16" s="45" t="s">
        <v>485</v>
      </c>
      <c r="B16" s="12" t="s">
        <v>316</v>
      </c>
      <c r="C16" s="13" t="s">
        <v>486</v>
      </c>
      <c r="D16" s="13" t="s">
        <v>492</v>
      </c>
      <c r="E16" s="45" t="n">
        <v>4</v>
      </c>
      <c r="F16" s="45" t="s">
        <v>375</v>
      </c>
      <c r="G16" s="45" t="s">
        <v>526</v>
      </c>
      <c r="H16" s="19"/>
      <c r="I16" s="46" t="n">
        <v>12</v>
      </c>
      <c r="J16" s="45" t="n">
        <f aca="false">H16*I16</f>
        <v>0</v>
      </c>
      <c r="K16" s="53" t="n">
        <f aca="false">J16*20</f>
        <v>0</v>
      </c>
      <c r="L16" s="53" t="n">
        <f aca="false">J16*30</f>
        <v>0</v>
      </c>
      <c r="M16" s="20"/>
      <c r="N16" s="53" t="n">
        <f aca="false">IF(M16="",K16,M16)</f>
        <v>0</v>
      </c>
      <c r="O16" s="53" t="n">
        <f aca="false">N16*0.25</f>
        <v>0</v>
      </c>
      <c r="P16" s="53" t="n">
        <f aca="false">N16*0.75</f>
        <v>0</v>
      </c>
      <c r="Q16" s="54" t="str">
        <f aca="false">IF(J16=0,"",N16/J16)</f>
        <v/>
      </c>
      <c r="R16" s="45" t="str">
        <f aca="false">IF(J16=0,"—",IF(N16/J16&lt;=20,"OK ideal",IF(N16/J16&lt;=30,"Dentro do teto","Acima do teto")))</f>
        <v>—</v>
      </c>
      <c r="S16" s="55" t="n">
        <v>0.35</v>
      </c>
      <c r="T16" s="56" t="n">
        <f aca="false">J16*S16</f>
        <v>0</v>
      </c>
      <c r="U16" s="21" t="s">
        <v>527</v>
      </c>
      <c r="V16" s="46" t="s">
        <v>159</v>
      </c>
    </row>
    <row r="17" customFormat="false" ht="24" hidden="false" customHeight="true" outlineLevel="0" collapsed="false">
      <c r="A17" s="45" t="s">
        <v>485</v>
      </c>
      <c r="B17" s="12" t="s">
        <v>82</v>
      </c>
      <c r="C17" s="13" t="s">
        <v>486</v>
      </c>
      <c r="D17" s="13" t="s">
        <v>492</v>
      </c>
      <c r="E17" s="45" t="n">
        <v>4</v>
      </c>
      <c r="F17" s="45" t="s">
        <v>375</v>
      </c>
      <c r="G17" s="45" t="s">
        <v>526</v>
      </c>
      <c r="H17" s="19"/>
      <c r="I17" s="46" t="n">
        <v>12</v>
      </c>
      <c r="J17" s="45" t="n">
        <f aca="false">H17*I17</f>
        <v>0</v>
      </c>
      <c r="K17" s="53" t="n">
        <f aca="false">J17*20</f>
        <v>0</v>
      </c>
      <c r="L17" s="53" t="n">
        <f aca="false">J17*30</f>
        <v>0</v>
      </c>
      <c r="M17" s="20"/>
      <c r="N17" s="53" t="n">
        <f aca="false">IF(M17="",K17,M17)</f>
        <v>0</v>
      </c>
      <c r="O17" s="53" t="n">
        <f aca="false">N17*0.25</f>
        <v>0</v>
      </c>
      <c r="P17" s="53" t="n">
        <f aca="false">N17*0.75</f>
        <v>0</v>
      </c>
      <c r="Q17" s="54" t="str">
        <f aca="false">IF(J17=0,"",N17/J17)</f>
        <v/>
      </c>
      <c r="R17" s="45" t="str">
        <f aca="false">IF(J17=0,"—",IF(N17/J17&lt;=20,"OK ideal",IF(N17/J17&lt;=30,"Dentro do teto","Acima do teto")))</f>
        <v>—</v>
      </c>
      <c r="S17" s="55" t="n">
        <v>0.35</v>
      </c>
      <c r="T17" s="56" t="n">
        <f aca="false">J17*S17</f>
        <v>0</v>
      </c>
      <c r="U17" s="21" t="s">
        <v>527</v>
      </c>
      <c r="V17" s="46" t="s">
        <v>159</v>
      </c>
    </row>
    <row r="18" customFormat="false" ht="24" hidden="false" customHeight="true" outlineLevel="0" collapsed="false">
      <c r="A18" s="45" t="s">
        <v>485</v>
      </c>
      <c r="B18" s="12" t="s">
        <v>528</v>
      </c>
      <c r="C18" s="13" t="s">
        <v>529</v>
      </c>
      <c r="D18" s="13" t="s">
        <v>76</v>
      </c>
      <c r="E18" s="45" t="n">
        <v>3</v>
      </c>
      <c r="F18" s="45" t="s">
        <v>495</v>
      </c>
      <c r="G18" s="45" t="s">
        <v>503</v>
      </c>
      <c r="H18" s="19"/>
      <c r="I18" s="46" t="n">
        <v>12</v>
      </c>
      <c r="J18" s="45" t="n">
        <f aca="false">H18*I18</f>
        <v>0</v>
      </c>
      <c r="K18" s="53" t="n">
        <f aca="false">J18*20</f>
        <v>0</v>
      </c>
      <c r="L18" s="53" t="n">
        <f aca="false">J18*30</f>
        <v>0</v>
      </c>
      <c r="M18" s="20"/>
      <c r="N18" s="53" t="n">
        <f aca="false">IF(M18="",K18,M18)</f>
        <v>0</v>
      </c>
      <c r="O18" s="53" t="n">
        <f aca="false">N18*0.25</f>
        <v>0</v>
      </c>
      <c r="P18" s="53" t="n">
        <f aca="false">N18*0.75</f>
        <v>0</v>
      </c>
      <c r="Q18" s="54" t="str">
        <f aca="false">IF(J18=0,"",N18/J18)</f>
        <v/>
      </c>
      <c r="R18" s="45" t="str">
        <f aca="false">IF(J18=0,"—",IF(N18/J18&lt;=20,"OK ideal",IF(N18/J18&lt;=30,"Dentro do teto","Acima do teto")))</f>
        <v>—</v>
      </c>
      <c r="S18" s="55" t="n">
        <v>0.3</v>
      </c>
      <c r="T18" s="56" t="n">
        <f aca="false">J18*S18</f>
        <v>0</v>
      </c>
      <c r="U18" s="21" t="s">
        <v>530</v>
      </c>
      <c r="V18" s="46" t="s">
        <v>159</v>
      </c>
    </row>
    <row r="19" customFormat="false" ht="24" hidden="false" customHeight="true" outlineLevel="0" collapsed="false">
      <c r="A19" s="45" t="s">
        <v>485</v>
      </c>
      <c r="B19" s="12" t="s">
        <v>531</v>
      </c>
      <c r="C19" s="13" t="s">
        <v>516</v>
      </c>
      <c r="D19" s="13" t="s">
        <v>85</v>
      </c>
      <c r="E19" s="45" t="n">
        <v>5</v>
      </c>
      <c r="F19" s="45" t="s">
        <v>375</v>
      </c>
      <c r="G19" s="45" t="s">
        <v>503</v>
      </c>
      <c r="H19" s="19"/>
      <c r="I19" s="46" t="n">
        <v>12</v>
      </c>
      <c r="J19" s="45" t="n">
        <f aca="false">H19*I19</f>
        <v>0</v>
      </c>
      <c r="K19" s="53" t="n">
        <f aca="false">J19*20</f>
        <v>0</v>
      </c>
      <c r="L19" s="53" t="n">
        <f aca="false">J19*30</f>
        <v>0</v>
      </c>
      <c r="M19" s="20"/>
      <c r="N19" s="53" t="n">
        <f aca="false">IF(M19="",K19,M19)</f>
        <v>0</v>
      </c>
      <c r="O19" s="53" t="n">
        <f aca="false">N19*0.25</f>
        <v>0</v>
      </c>
      <c r="P19" s="53" t="n">
        <f aca="false">N19*0.75</f>
        <v>0</v>
      </c>
      <c r="Q19" s="54" t="str">
        <f aca="false">IF(J19=0,"",N19/J19)</f>
        <v/>
      </c>
      <c r="R19" s="45" t="str">
        <f aca="false">IF(J19=0,"—",IF(N19/J19&lt;=20,"OK ideal",IF(N19/J19&lt;=30,"Dentro do teto","Acima do teto")))</f>
        <v>—</v>
      </c>
      <c r="S19" s="55" t="n">
        <v>0.45</v>
      </c>
      <c r="T19" s="56" t="n">
        <f aca="false">J19*S19</f>
        <v>0</v>
      </c>
      <c r="U19" s="21" t="s">
        <v>532</v>
      </c>
      <c r="V19" s="46" t="s">
        <v>159</v>
      </c>
    </row>
    <row r="20" customFormat="false" ht="24" hidden="false" customHeight="true" outlineLevel="0" collapsed="false">
      <c r="A20" s="45" t="s">
        <v>485</v>
      </c>
      <c r="B20" s="12" t="s">
        <v>533</v>
      </c>
      <c r="C20" s="13" t="s">
        <v>506</v>
      </c>
      <c r="D20" s="13" t="s">
        <v>492</v>
      </c>
      <c r="E20" s="45" t="n">
        <v>4</v>
      </c>
      <c r="F20" s="45" t="s">
        <v>375</v>
      </c>
      <c r="G20" s="45" t="s">
        <v>503</v>
      </c>
      <c r="H20" s="19"/>
      <c r="I20" s="46" t="n">
        <v>12</v>
      </c>
      <c r="J20" s="45" t="n">
        <f aca="false">H20*I20</f>
        <v>0</v>
      </c>
      <c r="K20" s="53" t="n">
        <f aca="false">J20*20</f>
        <v>0</v>
      </c>
      <c r="L20" s="53" t="n">
        <f aca="false">J20*30</f>
        <v>0</v>
      </c>
      <c r="M20" s="20"/>
      <c r="N20" s="53" t="n">
        <f aca="false">IF(M20="",K20,M20)</f>
        <v>0</v>
      </c>
      <c r="O20" s="53" t="n">
        <f aca="false">N20*0.25</f>
        <v>0</v>
      </c>
      <c r="P20" s="53" t="n">
        <f aca="false">N20*0.75</f>
        <v>0</v>
      </c>
      <c r="Q20" s="54" t="str">
        <f aca="false">IF(J20=0,"",N20/J20)</f>
        <v/>
      </c>
      <c r="R20" s="45" t="str">
        <f aca="false">IF(J20=0,"—",IF(N20/J20&lt;=20,"OK ideal",IF(N20/J20&lt;=30,"Dentro do teto","Acima do teto")))</f>
        <v>—</v>
      </c>
      <c r="S20" s="55" t="n">
        <v>0.45</v>
      </c>
      <c r="T20" s="56" t="n">
        <f aca="false">J20*S20</f>
        <v>0</v>
      </c>
      <c r="U20" s="21" t="s">
        <v>534</v>
      </c>
      <c r="V20" s="46" t="s">
        <v>159</v>
      </c>
    </row>
    <row r="21" customFormat="false" ht="24" hidden="false" customHeight="true" outlineLevel="0" collapsed="false">
      <c r="A21" s="45" t="s">
        <v>485</v>
      </c>
      <c r="B21" s="12" t="s">
        <v>535</v>
      </c>
      <c r="C21" s="13" t="s">
        <v>536</v>
      </c>
      <c r="D21" s="13" t="s">
        <v>524</v>
      </c>
      <c r="E21" s="45" t="n">
        <v>3</v>
      </c>
      <c r="F21" s="45" t="s">
        <v>375</v>
      </c>
      <c r="G21" s="45" t="s">
        <v>489</v>
      </c>
      <c r="H21" s="19"/>
      <c r="I21" s="46" t="n">
        <v>12</v>
      </c>
      <c r="J21" s="45" t="n">
        <f aca="false">H21*I21</f>
        <v>0</v>
      </c>
      <c r="K21" s="53" t="n">
        <f aca="false">J21*20</f>
        <v>0</v>
      </c>
      <c r="L21" s="53" t="n">
        <f aca="false">J21*30</f>
        <v>0</v>
      </c>
      <c r="M21" s="20"/>
      <c r="N21" s="53" t="n">
        <f aca="false">IF(M21="",K21,M21)</f>
        <v>0</v>
      </c>
      <c r="O21" s="53" t="n">
        <f aca="false">N21*0.25</f>
        <v>0</v>
      </c>
      <c r="P21" s="53" t="n">
        <f aca="false">N21*0.75</f>
        <v>0</v>
      </c>
      <c r="Q21" s="54" t="str">
        <f aca="false">IF(J21=0,"",N21/J21)</f>
        <v/>
      </c>
      <c r="R21" s="45" t="str">
        <f aca="false">IF(J21=0,"—",IF(N21/J21&lt;=20,"OK ideal",IF(N21/J21&lt;=30,"Dentro do teto","Acima do teto")))</f>
        <v>—</v>
      </c>
      <c r="S21" s="55" t="n">
        <v>0.4</v>
      </c>
      <c r="T21" s="56" t="n">
        <f aca="false">J21*S21</f>
        <v>0</v>
      </c>
      <c r="U21" s="21" t="s">
        <v>537</v>
      </c>
      <c r="V21" s="46" t="s">
        <v>159</v>
      </c>
    </row>
    <row r="22" customFormat="false" ht="24" hidden="false" customHeight="true" outlineLevel="0" collapsed="false">
      <c r="A22" s="45" t="s">
        <v>485</v>
      </c>
      <c r="B22" s="12" t="s">
        <v>163</v>
      </c>
      <c r="C22" s="13" t="s">
        <v>538</v>
      </c>
      <c r="D22" s="13" t="s">
        <v>76</v>
      </c>
      <c r="E22" s="45" t="n">
        <v>3</v>
      </c>
      <c r="F22" s="45" t="s">
        <v>375</v>
      </c>
      <c r="G22" s="45" t="s">
        <v>503</v>
      </c>
      <c r="H22" s="19"/>
      <c r="I22" s="46" t="n">
        <v>12</v>
      </c>
      <c r="J22" s="45" t="n">
        <f aca="false">H22*I22</f>
        <v>0</v>
      </c>
      <c r="K22" s="53" t="n">
        <f aca="false">J22*20</f>
        <v>0</v>
      </c>
      <c r="L22" s="53" t="n">
        <f aca="false">J22*30</f>
        <v>0</v>
      </c>
      <c r="M22" s="20"/>
      <c r="N22" s="53" t="n">
        <f aca="false">IF(M22="",K22,M22)</f>
        <v>0</v>
      </c>
      <c r="O22" s="53" t="n">
        <f aca="false">N22*0.25</f>
        <v>0</v>
      </c>
      <c r="P22" s="53" t="n">
        <f aca="false">N22*0.75</f>
        <v>0</v>
      </c>
      <c r="Q22" s="54" t="str">
        <f aca="false">IF(J22=0,"",N22/J22)</f>
        <v/>
      </c>
      <c r="R22" s="45" t="str">
        <f aca="false">IF(J22=0,"—",IF(N22/J22&lt;=20,"OK ideal",IF(N22/J22&lt;=30,"Dentro do teto","Acima do teto")))</f>
        <v>—</v>
      </c>
      <c r="S22" s="55" t="n">
        <v>0.5</v>
      </c>
      <c r="T22" s="56" t="n">
        <f aca="false">J22*S22</f>
        <v>0</v>
      </c>
      <c r="U22" s="21" t="s">
        <v>539</v>
      </c>
      <c r="V22" s="46" t="s">
        <v>159</v>
      </c>
    </row>
    <row r="23" customFormat="false" ht="24" hidden="false" customHeight="true" outlineLevel="0" collapsed="false">
      <c r="A23" s="45" t="s">
        <v>485</v>
      </c>
      <c r="B23" s="12" t="s">
        <v>540</v>
      </c>
      <c r="C23" s="13" t="s">
        <v>541</v>
      </c>
      <c r="D23" s="13" t="s">
        <v>498</v>
      </c>
      <c r="E23" s="45" t="n">
        <v>4</v>
      </c>
      <c r="F23" s="45" t="s">
        <v>375</v>
      </c>
      <c r="G23" s="45" t="s">
        <v>69</v>
      </c>
      <c r="H23" s="46" t="n">
        <v>100</v>
      </c>
      <c r="I23" s="46" t="n">
        <v>12</v>
      </c>
      <c r="J23" s="45" t="n">
        <f aca="false">H23*I23</f>
        <v>1200</v>
      </c>
      <c r="K23" s="53" t="n">
        <f aca="false">J23*20</f>
        <v>24000</v>
      </c>
      <c r="L23" s="53" t="n">
        <f aca="false">J23*30</f>
        <v>36000</v>
      </c>
      <c r="M23" s="20"/>
      <c r="N23" s="53" t="n">
        <f aca="false">IF(M23="",K23,M23)</f>
        <v>24000</v>
      </c>
      <c r="O23" s="53" t="n">
        <f aca="false">N23*0.25</f>
        <v>6000</v>
      </c>
      <c r="P23" s="53" t="n">
        <f aca="false">N23*0.75</f>
        <v>18000</v>
      </c>
      <c r="Q23" s="54" t="n">
        <f aca="false">IF(J23=0,"",N23/J23)</f>
        <v>20</v>
      </c>
      <c r="R23" s="45" t="str">
        <f aca="false">IF(J23=0,"—",IF(N23/J23&lt;=20,"OK ideal",IF(N23/J23&lt;=30,"Dentro do teto","Acima do teto")))</f>
        <v>OK ideal</v>
      </c>
      <c r="S23" s="55" t="n">
        <v>0.45</v>
      </c>
      <c r="T23" s="56" t="n">
        <f aca="false">J23*S23</f>
        <v>540</v>
      </c>
      <c r="U23" s="21" t="s">
        <v>542</v>
      </c>
      <c r="V23" s="46" t="s">
        <v>159</v>
      </c>
    </row>
    <row r="24" customFormat="false" ht="24" hidden="false" customHeight="true" outlineLevel="0" collapsed="false">
      <c r="A24" s="45" t="s">
        <v>485</v>
      </c>
      <c r="B24" s="12" t="s">
        <v>543</v>
      </c>
      <c r="C24" s="13" t="s">
        <v>541</v>
      </c>
      <c r="D24" s="13" t="s">
        <v>498</v>
      </c>
      <c r="E24" s="45" t="n">
        <v>4</v>
      </c>
      <c r="F24" s="45" t="s">
        <v>375</v>
      </c>
      <c r="G24" s="45" t="s">
        <v>69</v>
      </c>
      <c r="H24" s="19"/>
      <c r="I24" s="46" t="n">
        <v>12</v>
      </c>
      <c r="J24" s="45" t="n">
        <f aca="false">H24*I24</f>
        <v>0</v>
      </c>
      <c r="K24" s="53" t="n">
        <f aca="false">J24*20</f>
        <v>0</v>
      </c>
      <c r="L24" s="53" t="n">
        <f aca="false">J24*30</f>
        <v>0</v>
      </c>
      <c r="M24" s="20"/>
      <c r="N24" s="53" t="n">
        <f aca="false">IF(M24="",K24,M24)</f>
        <v>0</v>
      </c>
      <c r="O24" s="53" t="n">
        <f aca="false">N24*0.25</f>
        <v>0</v>
      </c>
      <c r="P24" s="53" t="n">
        <f aca="false">N24*0.75</f>
        <v>0</v>
      </c>
      <c r="Q24" s="54" t="str">
        <f aca="false">IF(J24=0,"",N24/J24)</f>
        <v/>
      </c>
      <c r="R24" s="45" t="str">
        <f aca="false">IF(J24=0,"—",IF(N24/J24&lt;=20,"OK ideal",IF(N24/J24&lt;=30,"Dentro do teto","Acima do teto")))</f>
        <v>—</v>
      </c>
      <c r="S24" s="55" t="n">
        <v>0.4</v>
      </c>
      <c r="T24" s="56" t="n">
        <f aca="false">J24*S24</f>
        <v>0</v>
      </c>
      <c r="U24" s="21" t="s">
        <v>544</v>
      </c>
      <c r="V24" s="46" t="s">
        <v>159</v>
      </c>
    </row>
    <row r="25" customFormat="false" ht="24" hidden="false" customHeight="true" outlineLevel="0" collapsed="false">
      <c r="A25" s="45" t="s">
        <v>485</v>
      </c>
      <c r="B25" s="12" t="s">
        <v>545</v>
      </c>
      <c r="C25" s="13" t="s">
        <v>541</v>
      </c>
      <c r="D25" s="13" t="s">
        <v>498</v>
      </c>
      <c r="E25" s="45" t="n">
        <v>4</v>
      </c>
      <c r="F25" s="45" t="s">
        <v>375</v>
      </c>
      <c r="G25" s="45" t="s">
        <v>69</v>
      </c>
      <c r="H25" s="19"/>
      <c r="I25" s="46" t="n">
        <v>12</v>
      </c>
      <c r="J25" s="45" t="n">
        <f aca="false">H25*I25</f>
        <v>0</v>
      </c>
      <c r="K25" s="53" t="n">
        <f aca="false">J25*20</f>
        <v>0</v>
      </c>
      <c r="L25" s="53" t="n">
        <f aca="false">J25*30</f>
        <v>0</v>
      </c>
      <c r="M25" s="20"/>
      <c r="N25" s="53" t="n">
        <f aca="false">IF(M25="",K25,M25)</f>
        <v>0</v>
      </c>
      <c r="O25" s="53" t="n">
        <f aca="false">N25*0.25</f>
        <v>0</v>
      </c>
      <c r="P25" s="53" t="n">
        <f aca="false">N25*0.75</f>
        <v>0</v>
      </c>
      <c r="Q25" s="54" t="str">
        <f aca="false">IF(J25=0,"",N25/J25)</f>
        <v/>
      </c>
      <c r="R25" s="45" t="str">
        <f aca="false">IF(J25=0,"—",IF(N25/J25&lt;=20,"OK ideal",IF(N25/J25&lt;=30,"Dentro do teto","Acima do teto")))</f>
        <v>—</v>
      </c>
      <c r="S25" s="55" t="n">
        <v>0.5</v>
      </c>
      <c r="T25" s="56" t="n">
        <f aca="false">J25*S25</f>
        <v>0</v>
      </c>
      <c r="U25" s="21" t="s">
        <v>546</v>
      </c>
      <c r="V25" s="46" t="s">
        <v>159</v>
      </c>
    </row>
    <row r="26" customFormat="false" ht="24" hidden="false" customHeight="true" outlineLevel="0" collapsed="false">
      <c r="A26" s="45" t="s">
        <v>547</v>
      </c>
      <c r="B26" s="12" t="s">
        <v>548</v>
      </c>
      <c r="C26" s="13" t="s">
        <v>549</v>
      </c>
      <c r="D26" s="13" t="s">
        <v>492</v>
      </c>
      <c r="E26" s="45" t="n">
        <v>5</v>
      </c>
      <c r="F26" s="45" t="s">
        <v>488</v>
      </c>
      <c r="G26" s="45" t="s">
        <v>69</v>
      </c>
      <c r="H26" s="46" t="n">
        <v>110</v>
      </c>
      <c r="I26" s="46" t="n">
        <v>12</v>
      </c>
      <c r="J26" s="45" t="n">
        <f aca="false">H26*I26</f>
        <v>1320</v>
      </c>
      <c r="K26" s="53" t="n">
        <f aca="false">J26*20</f>
        <v>26400</v>
      </c>
      <c r="L26" s="53" t="n">
        <f aca="false">J26*30</f>
        <v>39600</v>
      </c>
      <c r="M26" s="20"/>
      <c r="N26" s="53" t="n">
        <f aca="false">IF(M26="",K26,M26)</f>
        <v>26400</v>
      </c>
      <c r="O26" s="53" t="n">
        <f aca="false">N26*0.25</f>
        <v>6600</v>
      </c>
      <c r="P26" s="53" t="n">
        <f aca="false">N26*0.75</f>
        <v>19800</v>
      </c>
      <c r="Q26" s="54" t="n">
        <f aca="false">IF(J26=0,"",N26/J26)</f>
        <v>20</v>
      </c>
      <c r="R26" s="45" t="str">
        <f aca="false">IF(J26=0,"—",IF(N26/J26&lt;=20,"OK ideal",IF(N26/J26&lt;=30,"Dentro do teto","Acima do teto")))</f>
        <v>OK ideal</v>
      </c>
      <c r="S26" s="55" t="n">
        <v>0.45</v>
      </c>
      <c r="T26" s="56" t="n">
        <f aca="false">J26*S26</f>
        <v>594</v>
      </c>
      <c r="U26" s="21" t="s">
        <v>550</v>
      </c>
      <c r="V26" s="46" t="s">
        <v>551</v>
      </c>
    </row>
    <row r="27" customFormat="false" ht="24" hidden="false" customHeight="true" outlineLevel="0" collapsed="false">
      <c r="A27" s="45" t="s">
        <v>547</v>
      </c>
      <c r="B27" s="12" t="s">
        <v>552</v>
      </c>
      <c r="C27" s="13" t="s">
        <v>553</v>
      </c>
      <c r="D27" s="13" t="s">
        <v>554</v>
      </c>
      <c r="E27" s="45" t="n">
        <v>4</v>
      </c>
      <c r="F27" s="45" t="s">
        <v>375</v>
      </c>
      <c r="G27" s="45" t="s">
        <v>489</v>
      </c>
      <c r="H27" s="46" t="n">
        <v>120</v>
      </c>
      <c r="I27" s="46" t="n">
        <v>12</v>
      </c>
      <c r="J27" s="45" t="n">
        <f aca="false">H27*I27</f>
        <v>1440</v>
      </c>
      <c r="K27" s="53" t="n">
        <f aca="false">J27*20</f>
        <v>28800</v>
      </c>
      <c r="L27" s="53" t="n">
        <f aca="false">J27*30</f>
        <v>43200</v>
      </c>
      <c r="M27" s="20"/>
      <c r="N27" s="53" t="n">
        <f aca="false">IF(M27="",K27,M27)</f>
        <v>28800</v>
      </c>
      <c r="O27" s="53" t="n">
        <f aca="false">N27*0.25</f>
        <v>7200</v>
      </c>
      <c r="P27" s="53" t="n">
        <f aca="false">N27*0.75</f>
        <v>21600</v>
      </c>
      <c r="Q27" s="54" t="n">
        <f aca="false">IF(J27=0,"",N27/J27)</f>
        <v>20</v>
      </c>
      <c r="R27" s="45" t="str">
        <f aca="false">IF(J27=0,"—",IF(N27/J27&lt;=20,"OK ideal",IF(N27/J27&lt;=30,"Dentro do teto","Acima do teto")))</f>
        <v>OK ideal</v>
      </c>
      <c r="S27" s="55" t="n">
        <v>0.4</v>
      </c>
      <c r="T27" s="56" t="n">
        <f aca="false">J27*S27</f>
        <v>576</v>
      </c>
      <c r="U27" s="21" t="s">
        <v>555</v>
      </c>
      <c r="V27" s="46" t="s">
        <v>556</v>
      </c>
    </row>
    <row r="28" customFormat="false" ht="24" hidden="false" customHeight="true" outlineLevel="0" collapsed="false">
      <c r="A28" s="45" t="s">
        <v>547</v>
      </c>
      <c r="B28" s="12" t="s">
        <v>557</v>
      </c>
      <c r="C28" s="13" t="s">
        <v>549</v>
      </c>
      <c r="D28" s="13" t="s">
        <v>76</v>
      </c>
      <c r="E28" s="45" t="n">
        <v>4</v>
      </c>
      <c r="F28" s="45" t="s">
        <v>375</v>
      </c>
      <c r="G28" s="45" t="s">
        <v>558</v>
      </c>
      <c r="H28" s="19"/>
      <c r="I28" s="46" t="n">
        <v>12</v>
      </c>
      <c r="J28" s="45" t="n">
        <f aca="false">H28*I28</f>
        <v>0</v>
      </c>
      <c r="K28" s="53" t="n">
        <f aca="false">J28*20</f>
        <v>0</v>
      </c>
      <c r="L28" s="53" t="n">
        <f aca="false">J28*30</f>
        <v>0</v>
      </c>
      <c r="M28" s="20"/>
      <c r="N28" s="53" t="n">
        <f aca="false">IF(M28="",K28,M28)</f>
        <v>0</v>
      </c>
      <c r="O28" s="53" t="n">
        <f aca="false">N28*0.25</f>
        <v>0</v>
      </c>
      <c r="P28" s="53" t="n">
        <f aca="false">N28*0.75</f>
        <v>0</v>
      </c>
      <c r="Q28" s="54" t="str">
        <f aca="false">IF(J28=0,"",N28/J28)</f>
        <v/>
      </c>
      <c r="R28" s="45" t="str">
        <f aca="false">IF(J28=0,"—",IF(N28/J28&lt;=20,"OK ideal",IF(N28/J28&lt;=30,"Dentro do teto","Acima do teto")))</f>
        <v>—</v>
      </c>
      <c r="S28" s="55" t="n">
        <v>0.7</v>
      </c>
      <c r="T28" s="56" t="n">
        <f aca="false">J28*S28</f>
        <v>0</v>
      </c>
      <c r="U28" s="21" t="s">
        <v>559</v>
      </c>
      <c r="V28" s="46" t="s">
        <v>159</v>
      </c>
    </row>
    <row r="29" customFormat="false" ht="24" hidden="false" customHeight="true" outlineLevel="0" collapsed="false">
      <c r="A29" s="45" t="s">
        <v>547</v>
      </c>
      <c r="B29" s="12" t="s">
        <v>560</v>
      </c>
      <c r="C29" s="13" t="s">
        <v>486</v>
      </c>
      <c r="D29" s="13" t="s">
        <v>492</v>
      </c>
      <c r="E29" s="45" t="n">
        <v>4</v>
      </c>
      <c r="F29" s="45" t="s">
        <v>375</v>
      </c>
      <c r="G29" s="45" t="s">
        <v>558</v>
      </c>
      <c r="H29" s="19"/>
      <c r="I29" s="46" t="n">
        <v>12</v>
      </c>
      <c r="J29" s="45" t="n">
        <f aca="false">H29*I29</f>
        <v>0</v>
      </c>
      <c r="K29" s="53" t="n">
        <f aca="false">J29*20</f>
        <v>0</v>
      </c>
      <c r="L29" s="53" t="n">
        <f aca="false">J29*30</f>
        <v>0</v>
      </c>
      <c r="M29" s="20"/>
      <c r="N29" s="53" t="n">
        <f aca="false">IF(M29="",K29,M29)</f>
        <v>0</v>
      </c>
      <c r="O29" s="53" t="n">
        <f aca="false">N29*0.25</f>
        <v>0</v>
      </c>
      <c r="P29" s="53" t="n">
        <f aca="false">N29*0.75</f>
        <v>0</v>
      </c>
      <c r="Q29" s="54" t="str">
        <f aca="false">IF(J29=0,"",N29/J29)</f>
        <v/>
      </c>
      <c r="R29" s="45" t="str">
        <f aca="false">IF(J29=0,"—",IF(N29/J29&lt;=20,"OK ideal",IF(N29/J29&lt;=30,"Dentro do teto","Acima do teto")))</f>
        <v>—</v>
      </c>
      <c r="S29" s="55" t="n">
        <v>0.45</v>
      </c>
      <c r="T29" s="56" t="n">
        <f aca="false">J29*S29</f>
        <v>0</v>
      </c>
      <c r="U29" s="21" t="s">
        <v>561</v>
      </c>
      <c r="V29" s="46" t="s">
        <v>159</v>
      </c>
    </row>
    <row r="30" customFormat="false" ht="24" hidden="false" customHeight="true" outlineLevel="0" collapsed="false">
      <c r="A30" s="45" t="s">
        <v>547</v>
      </c>
      <c r="B30" s="12" t="s">
        <v>562</v>
      </c>
      <c r="C30" s="13" t="s">
        <v>486</v>
      </c>
      <c r="D30" s="13" t="s">
        <v>492</v>
      </c>
      <c r="E30" s="45" t="n">
        <v>3</v>
      </c>
      <c r="F30" s="45" t="s">
        <v>375</v>
      </c>
      <c r="G30" s="45" t="s">
        <v>489</v>
      </c>
      <c r="H30" s="19"/>
      <c r="I30" s="46" t="n">
        <v>12</v>
      </c>
      <c r="J30" s="45" t="n">
        <f aca="false">H30*I30</f>
        <v>0</v>
      </c>
      <c r="K30" s="53" t="n">
        <f aca="false">J30*20</f>
        <v>0</v>
      </c>
      <c r="L30" s="53" t="n">
        <f aca="false">J30*30</f>
        <v>0</v>
      </c>
      <c r="M30" s="20"/>
      <c r="N30" s="53" t="n">
        <f aca="false">IF(M30="",K30,M30)</f>
        <v>0</v>
      </c>
      <c r="O30" s="53" t="n">
        <f aca="false">N30*0.25</f>
        <v>0</v>
      </c>
      <c r="P30" s="53" t="n">
        <f aca="false">N30*0.75</f>
        <v>0</v>
      </c>
      <c r="Q30" s="54" t="str">
        <f aca="false">IF(J30=0,"",N30/J30)</f>
        <v/>
      </c>
      <c r="R30" s="45" t="str">
        <f aca="false">IF(J30=0,"—",IF(N30/J30&lt;=20,"OK ideal",IF(N30/J30&lt;=30,"Dentro do teto","Acima do teto")))</f>
        <v>—</v>
      </c>
      <c r="S30" s="55" t="n">
        <v>0.35</v>
      </c>
      <c r="T30" s="56" t="n">
        <f aca="false">J30*S30</f>
        <v>0</v>
      </c>
      <c r="U30" s="21" t="s">
        <v>563</v>
      </c>
      <c r="V30" s="46" t="s">
        <v>551</v>
      </c>
    </row>
    <row r="31" customFormat="false" ht="24" hidden="false" customHeight="true" outlineLevel="0" collapsed="false">
      <c r="A31" s="45" t="s">
        <v>547</v>
      </c>
      <c r="B31" s="12" t="s">
        <v>564</v>
      </c>
      <c r="C31" s="13" t="s">
        <v>565</v>
      </c>
      <c r="D31" s="13" t="s">
        <v>76</v>
      </c>
      <c r="E31" s="45" t="n">
        <v>5</v>
      </c>
      <c r="F31" s="45" t="s">
        <v>488</v>
      </c>
      <c r="G31" s="45" t="s">
        <v>566</v>
      </c>
      <c r="H31" s="19"/>
      <c r="I31" s="46" t="n">
        <v>12</v>
      </c>
      <c r="J31" s="45" t="n">
        <f aca="false">H31*I31</f>
        <v>0</v>
      </c>
      <c r="K31" s="53" t="n">
        <f aca="false">J31*20</f>
        <v>0</v>
      </c>
      <c r="L31" s="53" t="n">
        <f aca="false">J31*30</f>
        <v>0</v>
      </c>
      <c r="M31" s="20"/>
      <c r="N31" s="53" t="n">
        <f aca="false">IF(M31="",K31,M31)</f>
        <v>0</v>
      </c>
      <c r="O31" s="53" t="n">
        <f aca="false">N31*0.25</f>
        <v>0</v>
      </c>
      <c r="P31" s="53" t="n">
        <f aca="false">N31*0.75</f>
        <v>0</v>
      </c>
      <c r="Q31" s="54" t="str">
        <f aca="false">IF(J31=0,"",N31/J31)</f>
        <v/>
      </c>
      <c r="R31" s="45" t="str">
        <f aca="false">IF(J31=0,"—",IF(N31/J31&lt;=20,"OK ideal",IF(N31/J31&lt;=30,"Dentro do teto","Acima do teto")))</f>
        <v>—</v>
      </c>
      <c r="S31" s="55" t="n">
        <v>0.45</v>
      </c>
      <c r="T31" s="56" t="n">
        <f aca="false">J31*S31</f>
        <v>0</v>
      </c>
      <c r="U31" s="21" t="s">
        <v>567</v>
      </c>
      <c r="V31" s="46" t="s">
        <v>551</v>
      </c>
    </row>
    <row r="32" customFormat="false" ht="24" hidden="false" customHeight="true" outlineLevel="0" collapsed="false">
      <c r="A32" s="45" t="s">
        <v>547</v>
      </c>
      <c r="B32" s="12" t="s">
        <v>568</v>
      </c>
      <c r="C32" s="13" t="s">
        <v>565</v>
      </c>
      <c r="D32" s="13" t="s">
        <v>76</v>
      </c>
      <c r="E32" s="45" t="n">
        <v>5</v>
      </c>
      <c r="F32" s="45" t="s">
        <v>375</v>
      </c>
      <c r="G32" s="45" t="s">
        <v>503</v>
      </c>
      <c r="H32" s="19"/>
      <c r="I32" s="46" t="n">
        <v>12</v>
      </c>
      <c r="J32" s="45" t="n">
        <f aca="false">H32*I32</f>
        <v>0</v>
      </c>
      <c r="K32" s="53" t="n">
        <f aca="false">J32*20</f>
        <v>0</v>
      </c>
      <c r="L32" s="53" t="n">
        <f aca="false">J32*30</f>
        <v>0</v>
      </c>
      <c r="M32" s="20"/>
      <c r="N32" s="53" t="n">
        <f aca="false">IF(M32="",K32,M32)</f>
        <v>0</v>
      </c>
      <c r="O32" s="53" t="n">
        <f aca="false">N32*0.25</f>
        <v>0</v>
      </c>
      <c r="P32" s="53" t="n">
        <f aca="false">N32*0.75</f>
        <v>0</v>
      </c>
      <c r="Q32" s="54" t="str">
        <f aca="false">IF(J32=0,"",N32/J32)</f>
        <v/>
      </c>
      <c r="R32" s="45" t="str">
        <f aca="false">IF(J32=0,"—",IF(N32/J32&lt;=20,"OK ideal",IF(N32/J32&lt;=30,"Dentro do teto","Acima do teto")))</f>
        <v>—</v>
      </c>
      <c r="S32" s="55" t="n">
        <v>0.35</v>
      </c>
      <c r="T32" s="56" t="n">
        <f aca="false">J32*S32</f>
        <v>0</v>
      </c>
      <c r="U32" s="21" t="s">
        <v>569</v>
      </c>
      <c r="V32" s="46" t="s">
        <v>551</v>
      </c>
    </row>
    <row r="33" customFormat="false" ht="24" hidden="false" customHeight="true" outlineLevel="0" collapsed="false">
      <c r="A33" s="45" t="s">
        <v>547</v>
      </c>
      <c r="B33" s="12" t="s">
        <v>570</v>
      </c>
      <c r="C33" s="13" t="s">
        <v>565</v>
      </c>
      <c r="D33" s="13" t="s">
        <v>76</v>
      </c>
      <c r="E33" s="45" t="n">
        <v>5</v>
      </c>
      <c r="F33" s="45" t="s">
        <v>375</v>
      </c>
      <c r="G33" s="45" t="s">
        <v>503</v>
      </c>
      <c r="H33" s="19"/>
      <c r="I33" s="46" t="n">
        <v>12</v>
      </c>
      <c r="J33" s="45" t="n">
        <f aca="false">H33*I33</f>
        <v>0</v>
      </c>
      <c r="K33" s="53" t="n">
        <f aca="false">J33*20</f>
        <v>0</v>
      </c>
      <c r="L33" s="53" t="n">
        <f aca="false">J33*30</f>
        <v>0</v>
      </c>
      <c r="M33" s="20"/>
      <c r="N33" s="53" t="n">
        <f aca="false">IF(M33="",K33,M33)</f>
        <v>0</v>
      </c>
      <c r="O33" s="53" t="n">
        <f aca="false">N33*0.25</f>
        <v>0</v>
      </c>
      <c r="P33" s="53" t="n">
        <f aca="false">N33*0.75</f>
        <v>0</v>
      </c>
      <c r="Q33" s="54" t="str">
        <f aca="false">IF(J33=0,"",N33/J33)</f>
        <v/>
      </c>
      <c r="R33" s="45" t="str">
        <f aca="false">IF(J33=0,"—",IF(N33/J33&lt;=20,"OK ideal",IF(N33/J33&lt;=30,"Dentro do teto","Acima do teto")))</f>
        <v>—</v>
      </c>
      <c r="S33" s="55" t="n">
        <v>0.35</v>
      </c>
      <c r="T33" s="56" t="n">
        <f aca="false">J33*S33</f>
        <v>0</v>
      </c>
      <c r="U33" s="21" t="s">
        <v>569</v>
      </c>
      <c r="V33" s="46" t="s">
        <v>551</v>
      </c>
    </row>
    <row r="34" customFormat="false" ht="24" hidden="false" customHeight="true" outlineLevel="0" collapsed="false">
      <c r="A34" s="45" t="s">
        <v>547</v>
      </c>
      <c r="B34" s="12" t="s">
        <v>571</v>
      </c>
      <c r="C34" s="13" t="s">
        <v>486</v>
      </c>
      <c r="D34" s="13" t="s">
        <v>492</v>
      </c>
      <c r="E34" s="45" t="n">
        <v>4</v>
      </c>
      <c r="F34" s="45" t="s">
        <v>375</v>
      </c>
      <c r="G34" s="45" t="s">
        <v>503</v>
      </c>
      <c r="H34" s="19"/>
      <c r="I34" s="46" t="n">
        <v>12</v>
      </c>
      <c r="J34" s="45" t="n">
        <f aca="false">H34*I34</f>
        <v>0</v>
      </c>
      <c r="K34" s="53" t="n">
        <f aca="false">J34*20</f>
        <v>0</v>
      </c>
      <c r="L34" s="53" t="n">
        <f aca="false">J34*30</f>
        <v>0</v>
      </c>
      <c r="M34" s="20"/>
      <c r="N34" s="53" t="n">
        <f aca="false">IF(M34="",K34,M34)</f>
        <v>0</v>
      </c>
      <c r="O34" s="53" t="n">
        <f aca="false">N34*0.25</f>
        <v>0</v>
      </c>
      <c r="P34" s="53" t="n">
        <f aca="false">N34*0.75</f>
        <v>0</v>
      </c>
      <c r="Q34" s="54" t="str">
        <f aca="false">IF(J34=0,"",N34/J34)</f>
        <v/>
      </c>
      <c r="R34" s="45" t="str">
        <f aca="false">IF(J34=0,"—",IF(N34/J34&lt;=20,"OK ideal",IF(N34/J34&lt;=30,"Dentro do teto","Acima do teto")))</f>
        <v>—</v>
      </c>
      <c r="S34" s="55" t="n">
        <v>0.35</v>
      </c>
      <c r="T34" s="56" t="n">
        <f aca="false">J34*S34</f>
        <v>0</v>
      </c>
      <c r="U34" s="21" t="s">
        <v>572</v>
      </c>
      <c r="V34" s="46" t="s">
        <v>551</v>
      </c>
    </row>
    <row r="35" customFormat="false" ht="24" hidden="false" customHeight="true" outlineLevel="0" collapsed="false">
      <c r="A35" s="45" t="s">
        <v>547</v>
      </c>
      <c r="B35" s="12" t="s">
        <v>573</v>
      </c>
      <c r="C35" s="13" t="s">
        <v>486</v>
      </c>
      <c r="D35" s="13" t="s">
        <v>76</v>
      </c>
      <c r="E35" s="45" t="n">
        <v>3</v>
      </c>
      <c r="F35" s="45" t="s">
        <v>495</v>
      </c>
      <c r="G35" s="45" t="s">
        <v>503</v>
      </c>
      <c r="H35" s="19"/>
      <c r="I35" s="46" t="n">
        <v>12</v>
      </c>
      <c r="J35" s="45" t="n">
        <f aca="false">H35*I35</f>
        <v>0</v>
      </c>
      <c r="K35" s="53" t="n">
        <f aca="false">J35*20</f>
        <v>0</v>
      </c>
      <c r="L35" s="53" t="n">
        <f aca="false">J35*30</f>
        <v>0</v>
      </c>
      <c r="M35" s="20"/>
      <c r="N35" s="53" t="n">
        <f aca="false">IF(M35="",K35,M35)</f>
        <v>0</v>
      </c>
      <c r="O35" s="53" t="n">
        <f aca="false">N35*0.25</f>
        <v>0</v>
      </c>
      <c r="P35" s="53" t="n">
        <f aca="false">N35*0.75</f>
        <v>0</v>
      </c>
      <c r="Q35" s="54" t="str">
        <f aca="false">IF(J35=0,"",N35/J35)</f>
        <v/>
      </c>
      <c r="R35" s="45" t="str">
        <f aca="false">IF(J35=0,"—",IF(N35/J35&lt;=20,"OK ideal",IF(N35/J35&lt;=30,"Dentro do teto","Acima do teto")))</f>
        <v>—</v>
      </c>
      <c r="S35" s="55" t="n">
        <v>0.25</v>
      </c>
      <c r="T35" s="56" t="n">
        <f aca="false">J35*S35</f>
        <v>0</v>
      </c>
      <c r="U35" s="21" t="s">
        <v>574</v>
      </c>
      <c r="V35" s="46" t="s">
        <v>159</v>
      </c>
    </row>
    <row r="36" customFormat="false" ht="24" hidden="false" customHeight="true" outlineLevel="0" collapsed="false">
      <c r="A36" s="45" t="s">
        <v>547</v>
      </c>
      <c r="B36" s="12" t="s">
        <v>575</v>
      </c>
      <c r="C36" s="13" t="s">
        <v>497</v>
      </c>
      <c r="D36" s="13" t="s">
        <v>85</v>
      </c>
      <c r="E36" s="45" t="n">
        <v>3</v>
      </c>
      <c r="F36" s="45" t="s">
        <v>495</v>
      </c>
      <c r="G36" s="45" t="s">
        <v>503</v>
      </c>
      <c r="H36" s="19"/>
      <c r="I36" s="46" t="n">
        <v>12</v>
      </c>
      <c r="J36" s="45" t="n">
        <f aca="false">H36*I36</f>
        <v>0</v>
      </c>
      <c r="K36" s="53" t="n">
        <f aca="false">J36*20</f>
        <v>0</v>
      </c>
      <c r="L36" s="53" t="n">
        <f aca="false">J36*30</f>
        <v>0</v>
      </c>
      <c r="M36" s="20"/>
      <c r="N36" s="53" t="n">
        <f aca="false">IF(M36="",K36,M36)</f>
        <v>0</v>
      </c>
      <c r="O36" s="53" t="n">
        <f aca="false">N36*0.25</f>
        <v>0</v>
      </c>
      <c r="P36" s="53" t="n">
        <f aca="false">N36*0.75</f>
        <v>0</v>
      </c>
      <c r="Q36" s="54" t="str">
        <f aca="false">IF(J36=0,"",N36/J36)</f>
        <v/>
      </c>
      <c r="R36" s="45" t="str">
        <f aca="false">IF(J36=0,"—",IF(N36/J36&lt;=20,"OK ideal",IF(N36/J36&lt;=30,"Dentro do teto","Acima do teto")))</f>
        <v>—</v>
      </c>
      <c r="S36" s="55" t="n">
        <v>0.25</v>
      </c>
      <c r="T36" s="56" t="n">
        <f aca="false">J36*S36</f>
        <v>0</v>
      </c>
      <c r="U36" s="21" t="s">
        <v>576</v>
      </c>
      <c r="V36" s="46" t="s">
        <v>159</v>
      </c>
    </row>
    <row r="37" customFormat="false" ht="24" hidden="false" customHeight="true" outlineLevel="0" collapsed="false">
      <c r="A37" s="45" t="s">
        <v>547</v>
      </c>
      <c r="B37" s="12" t="s">
        <v>577</v>
      </c>
      <c r="C37" s="13" t="s">
        <v>486</v>
      </c>
      <c r="D37" s="13" t="s">
        <v>85</v>
      </c>
      <c r="E37" s="45" t="n">
        <v>3</v>
      </c>
      <c r="F37" s="45" t="s">
        <v>495</v>
      </c>
      <c r="G37" s="45" t="s">
        <v>489</v>
      </c>
      <c r="H37" s="19"/>
      <c r="I37" s="46" t="n">
        <v>12</v>
      </c>
      <c r="J37" s="45" t="n">
        <f aca="false">H37*I37</f>
        <v>0</v>
      </c>
      <c r="K37" s="53" t="n">
        <f aca="false">J37*20</f>
        <v>0</v>
      </c>
      <c r="L37" s="53" t="n">
        <f aca="false">J37*30</f>
        <v>0</v>
      </c>
      <c r="M37" s="20"/>
      <c r="N37" s="53" t="n">
        <f aca="false">IF(M37="",K37,M37)</f>
        <v>0</v>
      </c>
      <c r="O37" s="53" t="n">
        <f aca="false">N37*0.25</f>
        <v>0</v>
      </c>
      <c r="P37" s="53" t="n">
        <f aca="false">N37*0.75</f>
        <v>0</v>
      </c>
      <c r="Q37" s="54" t="str">
        <f aca="false">IF(J37=0,"",N37/J37)</f>
        <v/>
      </c>
      <c r="R37" s="45" t="str">
        <f aca="false">IF(J37=0,"—",IF(N37/J37&lt;=20,"OK ideal",IF(N37/J37&lt;=30,"Dentro do teto","Acima do teto")))</f>
        <v>—</v>
      </c>
      <c r="S37" s="55" t="n">
        <v>0.25</v>
      </c>
      <c r="T37" s="56" t="n">
        <f aca="false">J37*S37</f>
        <v>0</v>
      </c>
      <c r="U37" s="21" t="s">
        <v>578</v>
      </c>
      <c r="V37" s="46" t="s">
        <v>551</v>
      </c>
    </row>
    <row r="38" customFormat="false" ht="24" hidden="false" customHeight="true" outlineLevel="0" collapsed="false">
      <c r="A38" s="45" t="s">
        <v>547</v>
      </c>
      <c r="B38" s="12" t="s">
        <v>579</v>
      </c>
      <c r="C38" s="13" t="s">
        <v>486</v>
      </c>
      <c r="D38" s="13" t="s">
        <v>85</v>
      </c>
      <c r="E38" s="45" t="n">
        <v>3</v>
      </c>
      <c r="F38" s="45" t="s">
        <v>495</v>
      </c>
      <c r="G38" s="45" t="s">
        <v>489</v>
      </c>
      <c r="H38" s="19"/>
      <c r="I38" s="46" t="n">
        <v>12</v>
      </c>
      <c r="J38" s="45" t="n">
        <f aca="false">H38*I38</f>
        <v>0</v>
      </c>
      <c r="K38" s="53" t="n">
        <f aca="false">J38*20</f>
        <v>0</v>
      </c>
      <c r="L38" s="53" t="n">
        <f aca="false">J38*30</f>
        <v>0</v>
      </c>
      <c r="M38" s="20"/>
      <c r="N38" s="53" t="n">
        <f aca="false">IF(M38="",K38,M38)</f>
        <v>0</v>
      </c>
      <c r="O38" s="53" t="n">
        <f aca="false">N38*0.25</f>
        <v>0</v>
      </c>
      <c r="P38" s="53" t="n">
        <f aca="false">N38*0.75</f>
        <v>0</v>
      </c>
      <c r="Q38" s="54" t="str">
        <f aca="false">IF(J38=0,"",N38/J38)</f>
        <v/>
      </c>
      <c r="R38" s="45" t="str">
        <f aca="false">IF(J38=0,"—",IF(N38/J38&lt;=20,"OK ideal",IF(N38/J38&lt;=30,"Dentro do teto","Acima do teto")))</f>
        <v>—</v>
      </c>
      <c r="S38" s="55" t="n">
        <v>0.25</v>
      </c>
      <c r="T38" s="56" t="n">
        <f aca="false">J38*S38</f>
        <v>0</v>
      </c>
      <c r="U38" s="21" t="s">
        <v>580</v>
      </c>
      <c r="V38" s="46" t="s">
        <v>551</v>
      </c>
    </row>
    <row r="39" customFormat="false" ht="24" hidden="false" customHeight="true" outlineLevel="0" collapsed="false">
      <c r="A39" s="45" t="s">
        <v>547</v>
      </c>
      <c r="B39" s="12" t="s">
        <v>581</v>
      </c>
      <c r="C39" s="13" t="s">
        <v>486</v>
      </c>
      <c r="D39" s="13" t="s">
        <v>492</v>
      </c>
      <c r="E39" s="45" t="n">
        <v>3</v>
      </c>
      <c r="F39" s="45" t="s">
        <v>495</v>
      </c>
      <c r="G39" s="45" t="s">
        <v>489</v>
      </c>
      <c r="H39" s="19"/>
      <c r="I39" s="46" t="n">
        <v>12</v>
      </c>
      <c r="J39" s="45" t="n">
        <f aca="false">H39*I39</f>
        <v>0</v>
      </c>
      <c r="K39" s="53" t="n">
        <f aca="false">J39*20</f>
        <v>0</v>
      </c>
      <c r="L39" s="53" t="n">
        <f aca="false">J39*30</f>
        <v>0</v>
      </c>
      <c r="M39" s="20"/>
      <c r="N39" s="53" t="n">
        <f aca="false">IF(M39="",K39,M39)</f>
        <v>0</v>
      </c>
      <c r="O39" s="53" t="n">
        <f aca="false">N39*0.25</f>
        <v>0</v>
      </c>
      <c r="P39" s="53" t="n">
        <f aca="false">N39*0.75</f>
        <v>0</v>
      </c>
      <c r="Q39" s="54" t="str">
        <f aca="false">IF(J39=0,"",N39/J39)</f>
        <v/>
      </c>
      <c r="R39" s="45" t="str">
        <f aca="false">IF(J39=0,"—",IF(N39/J39&lt;=20,"OK ideal",IF(N39/J39&lt;=30,"Dentro do teto","Acima do teto")))</f>
        <v>—</v>
      </c>
      <c r="S39" s="55" t="n">
        <v>0.25</v>
      </c>
      <c r="T39" s="56" t="n">
        <f aca="false">J39*S39</f>
        <v>0</v>
      </c>
      <c r="U39" s="21" t="s">
        <v>582</v>
      </c>
      <c r="V39" s="46" t="s">
        <v>551</v>
      </c>
    </row>
    <row r="40" customFormat="false" ht="24" hidden="false" customHeight="true" outlineLevel="0" collapsed="false">
      <c r="A40" s="45" t="s">
        <v>547</v>
      </c>
      <c r="B40" s="12" t="s">
        <v>583</v>
      </c>
      <c r="C40" s="13" t="s">
        <v>486</v>
      </c>
      <c r="D40" s="13" t="s">
        <v>498</v>
      </c>
      <c r="E40" s="45" t="n">
        <v>3</v>
      </c>
      <c r="F40" s="45" t="s">
        <v>495</v>
      </c>
      <c r="G40" s="45" t="s">
        <v>503</v>
      </c>
      <c r="H40" s="19"/>
      <c r="I40" s="46" t="n">
        <v>12</v>
      </c>
      <c r="J40" s="45" t="n">
        <f aca="false">H40*I40</f>
        <v>0</v>
      </c>
      <c r="K40" s="53" t="n">
        <f aca="false">J40*20</f>
        <v>0</v>
      </c>
      <c r="L40" s="53" t="n">
        <f aca="false">J40*30</f>
        <v>0</v>
      </c>
      <c r="M40" s="20"/>
      <c r="N40" s="53" t="n">
        <f aca="false">IF(M40="",K40,M40)</f>
        <v>0</v>
      </c>
      <c r="O40" s="53" t="n">
        <f aca="false">N40*0.25</f>
        <v>0</v>
      </c>
      <c r="P40" s="53" t="n">
        <f aca="false">N40*0.75</f>
        <v>0</v>
      </c>
      <c r="Q40" s="54" t="str">
        <f aca="false">IF(J40=0,"",N40/J40)</f>
        <v/>
      </c>
      <c r="R40" s="45" t="str">
        <f aca="false">IF(J40=0,"—",IF(N40/J40&lt;=20,"OK ideal",IF(N40/J40&lt;=30,"Dentro do teto","Acima do teto")))</f>
        <v>—</v>
      </c>
      <c r="S40" s="55" t="n">
        <v>0.3</v>
      </c>
      <c r="T40" s="56" t="n">
        <f aca="false">J40*S40</f>
        <v>0</v>
      </c>
      <c r="U40" s="21" t="s">
        <v>584</v>
      </c>
      <c r="V40" s="46" t="s">
        <v>159</v>
      </c>
    </row>
    <row r="41" customFormat="false" ht="24" hidden="false" customHeight="true" outlineLevel="0" collapsed="false">
      <c r="A41" s="45" t="s">
        <v>547</v>
      </c>
      <c r="B41" s="12" t="s">
        <v>585</v>
      </c>
      <c r="C41" s="13" t="s">
        <v>541</v>
      </c>
      <c r="D41" s="13" t="s">
        <v>524</v>
      </c>
      <c r="E41" s="45" t="n">
        <v>3</v>
      </c>
      <c r="F41" s="45" t="s">
        <v>375</v>
      </c>
      <c r="G41" s="45" t="s">
        <v>503</v>
      </c>
      <c r="H41" s="19"/>
      <c r="I41" s="46" t="n">
        <v>12</v>
      </c>
      <c r="J41" s="45" t="n">
        <f aca="false">H41*I41</f>
        <v>0</v>
      </c>
      <c r="K41" s="53" t="n">
        <f aca="false">J41*20</f>
        <v>0</v>
      </c>
      <c r="L41" s="53" t="n">
        <f aca="false">J41*30</f>
        <v>0</v>
      </c>
      <c r="M41" s="20"/>
      <c r="N41" s="53" t="n">
        <f aca="false">IF(M41="",K41,M41)</f>
        <v>0</v>
      </c>
      <c r="O41" s="53" t="n">
        <f aca="false">N41*0.25</f>
        <v>0</v>
      </c>
      <c r="P41" s="53" t="n">
        <f aca="false">N41*0.75</f>
        <v>0</v>
      </c>
      <c r="Q41" s="54" t="str">
        <f aca="false">IF(J41=0,"",N41/J41)</f>
        <v/>
      </c>
      <c r="R41" s="45" t="str">
        <f aca="false">IF(J41=0,"—",IF(N41/J41&lt;=20,"OK ideal",IF(N41/J41&lt;=30,"Dentro do teto","Acima do teto")))</f>
        <v>—</v>
      </c>
      <c r="S41" s="55" t="n">
        <v>0.3</v>
      </c>
      <c r="T41" s="56" t="n">
        <f aca="false">J41*S41</f>
        <v>0</v>
      </c>
      <c r="U41" s="21" t="s">
        <v>586</v>
      </c>
      <c r="V41" s="46" t="s">
        <v>159</v>
      </c>
    </row>
    <row r="43" customFormat="false" ht="15" hidden="false" customHeight="true" outlineLevel="0" collapsed="false">
      <c r="A43" s="47" t="s">
        <v>435</v>
      </c>
      <c r="B43" s="47"/>
      <c r="C43" s="47"/>
    </row>
    <row r="44" customFormat="false" ht="25.5" hidden="false" customHeight="true" outlineLevel="0" collapsed="false">
      <c r="A44" s="48" t="s">
        <v>587</v>
      </c>
      <c r="B44" s="48" t="s">
        <v>588</v>
      </c>
      <c r="C44" s="48" t="s">
        <v>589</v>
      </c>
      <c r="D44" s="48" t="s">
        <v>590</v>
      </c>
      <c r="E44" s="48" t="s">
        <v>591</v>
      </c>
      <c r="F44" s="48" t="s">
        <v>592</v>
      </c>
      <c r="G44" s="48" t="s">
        <v>593</v>
      </c>
    </row>
    <row r="45" customFormat="false" ht="15" hidden="false" customHeight="true" outlineLevel="0" collapsed="false">
      <c r="A45" s="57" t="n">
        <f aca="false">COUNTA(B3:B41)</f>
        <v>39</v>
      </c>
      <c r="B45" s="57" t="n">
        <f aca="false">SUM(J3:J41)</f>
        <v>6120</v>
      </c>
      <c r="C45" s="58" t="n">
        <f aca="false">SUM(N3:N41)</f>
        <v>122400</v>
      </c>
      <c r="D45" s="58" t="n">
        <f aca="false">SUM(O3:O41)</f>
        <v>30600</v>
      </c>
      <c r="E45" s="58" t="n">
        <f aca="false">SUM(P3:P41)</f>
        <v>91800</v>
      </c>
      <c r="F45" s="57" t="n">
        <f aca="false">SUM(T3:T41)</f>
        <v>2490</v>
      </c>
      <c r="G45" s="57" t="n">
        <f aca="false">COUNTIF(G3:G41,"Fechado")</f>
        <v>2</v>
      </c>
    </row>
  </sheetData>
  <mergeCells count="2">
    <mergeCell ref="A1:V1"/>
    <mergeCell ref="A43:C43"/>
  </mergeCells>
  <conditionalFormatting sqref="R3:R41">
    <cfRule type="cellIs" priority="2" operator="equal" aboveAverage="0" equalAverage="0" bottom="0" percent="0" rank="0" text="" dxfId="0">
      <formula>"OK ideal"</formula>
    </cfRule>
    <cfRule type="cellIs" priority="3" operator="equal" aboveAverage="0" equalAverage="0" bottom="0" percent="0" rank="0" text="" dxfId="1">
      <formula>"Dentro do teto"</formula>
    </cfRule>
    <cfRule type="cellIs" priority="4" operator="equal" aboveAverage="0" equalAverage="0" bottom="0" percent="0" rank="0" text="" dxfId="2">
      <formula>"Acima do teto"</formula>
    </cfRule>
  </conditionalFormatting>
  <dataValidations count="7">
    <dataValidation allowBlank="true" errorStyle="stop" operator="between" showDropDown="false" showErrorMessage="false" showInputMessage="false" sqref="A3:A41" type="list">
      <formula1>"RJ,SP"</formula1>
      <formula2>0</formula2>
    </dataValidation>
    <dataValidation allowBlank="true" errorStyle="stop" operator="between" showDropDown="false" showErrorMessage="false" showInputMessage="false" sqref="C3:C41" type="list">
      <formula1>"Bar/On Trade,Casa noturna,Restaurante premium,Grupo/Rede,Grupo On Trade,Bar/Alta coquetelaria,Casa de show,Club/LGBT,Bar/Experiência,Bar/Restaurante,Distribuidor,Agência/Operação,Evento/Carnaval"</formula1>
      <formula2>0</formula2>
    </dataValidation>
    <dataValidation allowBlank="true" errorStyle="stop" operator="between" showDropDown="false" showErrorMessage="false" showInputMessage="false" sqref="D3:D41" type="list">
      <formula1>"Estratégico,Imagem + Volume,Imagem,Volume,Misto,Rede/Grupo,Teste,Evento/Festival,Eventos"</formula1>
      <formula2>0</formula2>
    </dataValidation>
    <dataValidation allowBlank="true" errorStyle="stop" operator="between" showDropDown="false" showErrorMessage="false" showInputMessage="false" sqref="E3:E41" type="list">
      <formula1>"1,2,3,4,5"</formula1>
      <formula2>0</formula2>
    </dataValidation>
    <dataValidation allowBlank="true" errorStyle="stop" operator="between" showDropDown="false" showErrorMessage="false" showInputMessage="false" sqref="F3:F41" type="list">
      <formula1>"Crítica,Alta,Média,Baixa"</formula1>
      <formula2>0</formula2>
    </dataValidation>
    <dataValidation allowBlank="true" errorStyle="stop" operator="between" showDropDown="false" showErrorMessage="false" showInputMessage="false" sqref="G3:G41" type="list">
      <formula1>"Prospecção,Mapeado,Contatado,Diagnóstico,Proposta,Negociação,Fechado,Perdido,Standby"</formula1>
      <formula2>0</formula2>
    </dataValidation>
    <dataValidation allowBlank="true" errorStyle="stop" operator="between" showDropDown="false" showErrorMessage="false" showInputMessage="false" sqref="V3:V41" type="list">
      <formula1>"Bruno,Jerry,Iasmin,Julia,Rio (vaga),João,Bruno/Jerry,João/Bruno,Bruno/Tanize,Bruno/Vitor"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4"/>
    <col collapsed="false" customWidth="true" hidden="false" outlineLevel="0" max="6" min="6" style="1" width="30"/>
  </cols>
  <sheetData>
    <row r="1" customFormat="false" ht="15.75" hidden="false" customHeight="true" outlineLevel="0" collapsed="false">
      <c r="A1" s="59" t="s">
        <v>594</v>
      </c>
      <c r="B1" s="59"/>
      <c r="C1" s="59"/>
      <c r="D1" s="59"/>
      <c r="E1" s="59"/>
      <c r="F1" s="59"/>
    </row>
    <row r="2" customFormat="false" ht="15" hidden="false" customHeight="true" outlineLevel="0" collapsed="false">
      <c r="A2" s="60" t="s">
        <v>595</v>
      </c>
      <c r="B2" s="60"/>
      <c r="C2" s="60"/>
      <c r="D2" s="60"/>
      <c r="E2" s="60"/>
      <c r="F2" s="60"/>
    </row>
    <row r="4" customFormat="false" ht="15" hidden="false" customHeight="true" outlineLevel="0" collapsed="false">
      <c r="A4" s="61" t="s">
        <v>596</v>
      </c>
    </row>
    <row r="5" customFormat="false" ht="15" hidden="false" customHeight="true" outlineLevel="0" collapsed="false">
      <c r="A5" s="7" t="s">
        <v>597</v>
      </c>
      <c r="B5" s="45" t="s">
        <v>598</v>
      </c>
      <c r="C5" s="12" t="s">
        <v>599</v>
      </c>
      <c r="D5" s="12"/>
      <c r="E5" s="12"/>
      <c r="F5" s="12"/>
    </row>
    <row r="6" customFormat="false" ht="15" hidden="false" customHeight="true" outlineLevel="0" collapsed="false">
      <c r="A6" s="7" t="s">
        <v>600</v>
      </c>
      <c r="B6" s="45" t="s">
        <v>601</v>
      </c>
      <c r="C6" s="12" t="s">
        <v>602</v>
      </c>
      <c r="D6" s="12"/>
      <c r="E6" s="12"/>
      <c r="F6" s="12"/>
    </row>
    <row r="7" customFormat="false" ht="15" hidden="false" customHeight="true" outlineLevel="0" collapsed="false">
      <c r="A7" s="7" t="s">
        <v>603</v>
      </c>
      <c r="B7" s="45" t="s">
        <v>604</v>
      </c>
      <c r="C7" s="12" t="s">
        <v>605</v>
      </c>
      <c r="D7" s="12"/>
      <c r="E7" s="12"/>
      <c r="F7" s="12"/>
    </row>
    <row r="8" customFormat="false" ht="15" hidden="false" customHeight="true" outlineLevel="0" collapsed="false">
      <c r="A8" s="7" t="s">
        <v>606</v>
      </c>
      <c r="B8" s="45" t="s">
        <v>607</v>
      </c>
      <c r="C8" s="12" t="s">
        <v>608</v>
      </c>
      <c r="D8" s="12"/>
      <c r="E8" s="12"/>
      <c r="F8" s="12"/>
    </row>
    <row r="9" customFormat="false" ht="15" hidden="false" customHeight="true" outlineLevel="0" collapsed="false">
      <c r="A9" s="7" t="s">
        <v>609</v>
      </c>
      <c r="B9" s="45" t="s">
        <v>610</v>
      </c>
      <c r="C9" s="12" t="s">
        <v>611</v>
      </c>
      <c r="D9" s="12"/>
      <c r="E9" s="12"/>
      <c r="F9" s="12"/>
    </row>
    <row r="11" customFormat="false" ht="15" hidden="false" customHeight="true" outlineLevel="0" collapsed="false">
      <c r="A11" s="61" t="s">
        <v>612</v>
      </c>
    </row>
    <row r="12" customFormat="false" ht="15" hidden="false" customHeight="true" outlineLevel="0" collapsed="false">
      <c r="A12" s="62" t="s">
        <v>471</v>
      </c>
      <c r="B12" s="62" t="s">
        <v>613</v>
      </c>
      <c r="C12" s="62" t="s">
        <v>614</v>
      </c>
      <c r="D12" s="62" t="s">
        <v>615</v>
      </c>
      <c r="E12" s="62" t="s">
        <v>616</v>
      </c>
    </row>
    <row r="13" customFormat="false" ht="15" hidden="false" customHeight="true" outlineLevel="0" collapsed="false">
      <c r="A13" s="13" t="s">
        <v>76</v>
      </c>
      <c r="B13" s="63" t="n">
        <v>0.45</v>
      </c>
      <c r="C13" s="63" t="n">
        <v>0.35</v>
      </c>
      <c r="D13" s="63" t="n">
        <v>0.2</v>
      </c>
      <c r="E13" s="63" t="n">
        <v>0.95</v>
      </c>
    </row>
    <row r="14" customFormat="false" ht="15" hidden="false" customHeight="true" outlineLevel="0" collapsed="false">
      <c r="A14" s="13" t="s">
        <v>85</v>
      </c>
      <c r="B14" s="63" t="n">
        <v>0.25</v>
      </c>
      <c r="C14" s="63" t="n">
        <v>0.35</v>
      </c>
      <c r="D14" s="63" t="n">
        <v>0.4</v>
      </c>
      <c r="E14" s="63" t="n">
        <v>1</v>
      </c>
    </row>
    <row r="15" customFormat="false" ht="15" hidden="false" customHeight="true" outlineLevel="0" collapsed="false">
      <c r="A15" s="13" t="s">
        <v>617</v>
      </c>
      <c r="B15" s="63" t="n">
        <v>0.35</v>
      </c>
      <c r="C15" s="63" t="n">
        <v>0.3</v>
      </c>
      <c r="D15" s="63" t="n">
        <v>0.35</v>
      </c>
      <c r="E15" s="63" t="n">
        <v>1</v>
      </c>
    </row>
    <row r="16" customFormat="false" ht="15" hidden="false" customHeight="true" outlineLevel="0" collapsed="false">
      <c r="A16" s="13" t="s">
        <v>487</v>
      </c>
      <c r="B16" s="63" t="n">
        <v>0.3</v>
      </c>
      <c r="C16" s="63" t="n">
        <v>0.25</v>
      </c>
      <c r="D16" s="63" t="n">
        <v>0.45</v>
      </c>
      <c r="E16" s="63" t="n">
        <v>1.05</v>
      </c>
    </row>
    <row r="17" customFormat="false" ht="15" hidden="false" customHeight="true" outlineLevel="0" collapsed="false">
      <c r="A17" s="13" t="s">
        <v>498</v>
      </c>
      <c r="B17" s="63" t="n">
        <v>0.2</v>
      </c>
      <c r="C17" s="63" t="n">
        <v>0.2</v>
      </c>
      <c r="D17" s="63" t="n">
        <v>0.6</v>
      </c>
      <c r="E17" s="63" t="n">
        <v>1</v>
      </c>
    </row>
    <row r="18" customFormat="false" ht="15" hidden="false" customHeight="true" outlineLevel="0" collapsed="false">
      <c r="A18" s="13" t="s">
        <v>554</v>
      </c>
      <c r="B18" s="63" t="n">
        <v>0.4</v>
      </c>
      <c r="C18" s="63" t="n">
        <v>0.35</v>
      </c>
      <c r="D18" s="63" t="n">
        <v>0.25</v>
      </c>
      <c r="E18" s="63" t="n">
        <v>0.95</v>
      </c>
    </row>
    <row r="19" customFormat="false" ht="15" hidden="false" customHeight="true" outlineLevel="0" collapsed="false">
      <c r="A19" s="13" t="s">
        <v>502</v>
      </c>
      <c r="B19" s="63" t="n">
        <v>0.2</v>
      </c>
      <c r="C19" s="63" t="n">
        <v>0.5</v>
      </c>
      <c r="D19" s="63" t="n">
        <v>0.3</v>
      </c>
      <c r="E19" s="63" t="n">
        <v>0.8</v>
      </c>
    </row>
    <row r="20" customFormat="false" ht="15" hidden="false" customHeight="true" outlineLevel="0" collapsed="false">
      <c r="A20" s="13" t="s">
        <v>492</v>
      </c>
      <c r="B20" s="63" t="n">
        <v>0.32</v>
      </c>
      <c r="C20" s="63" t="n">
        <v>0.28</v>
      </c>
      <c r="D20" s="63" t="n">
        <v>0.4</v>
      </c>
      <c r="E20" s="63" t="n">
        <v>1.05</v>
      </c>
    </row>
    <row r="22" customFormat="false" ht="15" hidden="false" customHeight="true" outlineLevel="0" collapsed="false">
      <c r="A22" s="61" t="s">
        <v>618</v>
      </c>
      <c r="D22" s="61" t="s">
        <v>619</v>
      </c>
    </row>
    <row r="23" customFormat="false" ht="15" hidden="false" customHeight="true" outlineLevel="0" collapsed="false">
      <c r="A23" s="8" t="s">
        <v>620</v>
      </c>
      <c r="B23" s="63" t="n">
        <v>0.6</v>
      </c>
      <c r="D23" s="8" t="s">
        <v>382</v>
      </c>
      <c r="E23" s="63" t="n">
        <v>0.7</v>
      </c>
    </row>
    <row r="24" customFormat="false" ht="15" hidden="false" customHeight="true" outlineLevel="0" collapsed="false">
      <c r="A24" s="8" t="s">
        <v>621</v>
      </c>
      <c r="B24" s="63" t="n">
        <v>0.7</v>
      </c>
      <c r="D24" s="8" t="s">
        <v>495</v>
      </c>
      <c r="E24" s="63" t="n">
        <v>0.85</v>
      </c>
    </row>
    <row r="25" customFormat="false" ht="15" hidden="false" customHeight="true" outlineLevel="0" collapsed="false">
      <c r="A25" s="8" t="s">
        <v>622</v>
      </c>
      <c r="B25" s="63" t="n">
        <v>0.8</v>
      </c>
      <c r="D25" s="8" t="s">
        <v>375</v>
      </c>
      <c r="E25" s="63" t="n">
        <v>1</v>
      </c>
    </row>
    <row r="26" customFormat="false" ht="15" hidden="false" customHeight="true" outlineLevel="0" collapsed="false">
      <c r="A26" s="8" t="s">
        <v>623</v>
      </c>
      <c r="B26" s="63" t="n">
        <v>0.9</v>
      </c>
      <c r="D26" s="8" t="s">
        <v>488</v>
      </c>
      <c r="E26" s="63" t="n">
        <v>1.1</v>
      </c>
    </row>
    <row r="27" customFormat="false" ht="15" hidden="false" customHeight="true" outlineLevel="0" collapsed="false">
      <c r="A27" s="8" t="s">
        <v>624</v>
      </c>
      <c r="B27" s="63" t="n">
        <v>1</v>
      </c>
    </row>
    <row r="29" customFormat="false" ht="15" hidden="false" customHeight="true" outlineLevel="0" collapsed="false">
      <c r="A29" s="61" t="s">
        <v>625</v>
      </c>
    </row>
    <row r="30" customFormat="false" ht="15" hidden="false" customHeight="true" outlineLevel="0" collapsed="false">
      <c r="A30" s="62" t="s">
        <v>626</v>
      </c>
      <c r="B30" s="62" t="s">
        <v>627</v>
      </c>
      <c r="C30" s="62" t="s">
        <v>628</v>
      </c>
      <c r="D30" s="62" t="s">
        <v>629</v>
      </c>
      <c r="E30" s="62" t="s">
        <v>630</v>
      </c>
    </row>
    <row r="31" customFormat="false" ht="15" hidden="false" customHeight="true" outlineLevel="0" collapsed="false">
      <c r="A31" s="45" t="n">
        <v>25</v>
      </c>
      <c r="B31" s="45" t="n">
        <v>75</v>
      </c>
      <c r="C31" s="53" t="n">
        <v>6000</v>
      </c>
      <c r="D31" s="53" t="n">
        <v>9000</v>
      </c>
      <c r="E31" s="53" t="n">
        <v>1500</v>
      </c>
    </row>
    <row r="32" customFormat="false" ht="15" hidden="false" customHeight="true" outlineLevel="0" collapsed="false">
      <c r="A32" s="45" t="n">
        <v>50</v>
      </c>
      <c r="B32" s="45" t="n">
        <v>150</v>
      </c>
      <c r="C32" s="53" t="n">
        <v>12000</v>
      </c>
      <c r="D32" s="53" t="n">
        <v>18000</v>
      </c>
      <c r="E32" s="53" t="n">
        <v>3000</v>
      </c>
    </row>
    <row r="33" customFormat="false" ht="15" hidden="false" customHeight="true" outlineLevel="0" collapsed="false">
      <c r="A33" s="45" t="n">
        <v>75</v>
      </c>
      <c r="B33" s="45" t="n">
        <v>225</v>
      </c>
      <c r="C33" s="53" t="n">
        <v>18000</v>
      </c>
      <c r="D33" s="53" t="n">
        <v>27000</v>
      </c>
      <c r="E33" s="53" t="n">
        <v>4500</v>
      </c>
    </row>
    <row r="34" customFormat="false" ht="15" hidden="false" customHeight="true" outlineLevel="0" collapsed="false">
      <c r="A34" s="45" t="n">
        <v>100</v>
      </c>
      <c r="B34" s="45" t="n">
        <v>300</v>
      </c>
      <c r="C34" s="53" t="n">
        <v>24000</v>
      </c>
      <c r="D34" s="53" t="n">
        <v>36000</v>
      </c>
      <c r="E34" s="53" t="n">
        <v>6000</v>
      </c>
    </row>
    <row r="35" customFormat="false" ht="15" hidden="false" customHeight="true" outlineLevel="0" collapsed="false">
      <c r="A35" s="45" t="n">
        <v>125</v>
      </c>
      <c r="B35" s="45" t="n">
        <v>375</v>
      </c>
      <c r="C35" s="53" t="n">
        <v>30000</v>
      </c>
      <c r="D35" s="53" t="n">
        <v>45000</v>
      </c>
      <c r="E35" s="53" t="n">
        <v>7500</v>
      </c>
    </row>
    <row r="36" customFormat="false" ht="15" hidden="false" customHeight="true" outlineLevel="0" collapsed="false">
      <c r="A36" s="45" t="n">
        <v>150</v>
      </c>
      <c r="B36" s="45" t="n">
        <v>450</v>
      </c>
      <c r="C36" s="53" t="n">
        <v>36000</v>
      </c>
      <c r="D36" s="53" t="n">
        <v>54000</v>
      </c>
      <c r="E36" s="53" t="n">
        <v>9000</v>
      </c>
    </row>
    <row r="37" customFormat="false" ht="15" hidden="false" customHeight="true" outlineLevel="0" collapsed="false">
      <c r="A37" s="45" t="n">
        <v>175</v>
      </c>
      <c r="B37" s="45" t="n">
        <v>525</v>
      </c>
      <c r="C37" s="53" t="n">
        <v>42000</v>
      </c>
      <c r="D37" s="53" t="n">
        <v>63000</v>
      </c>
      <c r="E37" s="53" t="n">
        <v>10500</v>
      </c>
    </row>
    <row r="38" customFormat="false" ht="15" hidden="false" customHeight="true" outlineLevel="0" collapsed="false">
      <c r="A38" s="45" t="n">
        <v>200</v>
      </c>
      <c r="B38" s="45" t="n">
        <v>600</v>
      </c>
      <c r="C38" s="53" t="n">
        <v>48000</v>
      </c>
      <c r="D38" s="53" t="n">
        <v>72000</v>
      </c>
      <c r="E38" s="53" t="n">
        <v>12000</v>
      </c>
    </row>
    <row r="39" customFormat="false" ht="15" hidden="false" customHeight="true" outlineLevel="0" collapsed="false">
      <c r="A39" s="45" t="n">
        <v>225</v>
      </c>
      <c r="B39" s="45" t="n">
        <v>675</v>
      </c>
      <c r="C39" s="53" t="n">
        <v>54000</v>
      </c>
      <c r="D39" s="53" t="n">
        <v>81000</v>
      </c>
      <c r="E39" s="53" t="n">
        <v>13500</v>
      </c>
    </row>
    <row r="40" customFormat="false" ht="15" hidden="false" customHeight="true" outlineLevel="0" collapsed="false">
      <c r="A40" s="45" t="n">
        <v>250</v>
      </c>
      <c r="B40" s="45" t="n">
        <v>750</v>
      </c>
      <c r="C40" s="53" t="n">
        <v>60000</v>
      </c>
      <c r="D40" s="53" t="n">
        <v>90000</v>
      </c>
      <c r="E40" s="53" t="n">
        <v>15000</v>
      </c>
    </row>
    <row r="42" customFormat="false" ht="15" hidden="false" customHeight="true" outlineLevel="0" collapsed="false">
      <c r="A42" s="61" t="s">
        <v>631</v>
      </c>
    </row>
    <row r="43" customFormat="false" ht="15" hidden="false" customHeight="true" outlineLevel="0" collapsed="false">
      <c r="A43" s="7" t="s">
        <v>632</v>
      </c>
      <c r="B43" s="45" t="s">
        <v>633</v>
      </c>
      <c r="C43" s="12" t="s">
        <v>634</v>
      </c>
      <c r="D43" s="12"/>
      <c r="E43" s="12"/>
      <c r="F43" s="12"/>
    </row>
    <row r="44" customFormat="false" ht="15" hidden="false" customHeight="true" outlineLevel="0" collapsed="false">
      <c r="A44" s="7" t="s">
        <v>635</v>
      </c>
      <c r="B44" s="45" t="s">
        <v>636</v>
      </c>
      <c r="C44" s="12" t="s">
        <v>637</v>
      </c>
      <c r="D44" s="12"/>
      <c r="E44" s="12"/>
      <c r="F44" s="12"/>
    </row>
    <row r="45" customFormat="false" ht="15" hidden="false" customHeight="true" outlineLevel="0" collapsed="false">
      <c r="A45" s="7" t="s">
        <v>638</v>
      </c>
      <c r="B45" s="45" t="s">
        <v>636</v>
      </c>
      <c r="C45" s="12" t="s">
        <v>639</v>
      </c>
      <c r="D45" s="12"/>
      <c r="E45" s="12"/>
      <c r="F45" s="12"/>
    </row>
    <row r="46" customFormat="false" ht="15" hidden="false" customHeight="true" outlineLevel="0" collapsed="false">
      <c r="A46" s="7" t="s">
        <v>640</v>
      </c>
      <c r="B46" s="45" t="s">
        <v>641</v>
      </c>
      <c r="C46" s="12" t="s">
        <v>642</v>
      </c>
      <c r="D46" s="12"/>
      <c r="E46" s="12"/>
      <c r="F46" s="12"/>
    </row>
    <row r="47" customFormat="false" ht="15" hidden="false" customHeight="true" outlineLevel="0" collapsed="false">
      <c r="A47" s="7" t="s">
        <v>643</v>
      </c>
      <c r="B47" s="45" t="s">
        <v>641</v>
      </c>
      <c r="C47" s="12" t="s">
        <v>644</v>
      </c>
      <c r="D47" s="12"/>
      <c r="E47" s="12"/>
      <c r="F47" s="12"/>
    </row>
    <row r="48" customFormat="false" ht="15" hidden="false" customHeight="true" outlineLevel="0" collapsed="false">
      <c r="A48" s="7" t="s">
        <v>645</v>
      </c>
      <c r="B48" s="45" t="s">
        <v>646</v>
      </c>
      <c r="C48" s="12" t="s">
        <v>647</v>
      </c>
      <c r="D48" s="12"/>
      <c r="E48" s="12"/>
      <c r="F48" s="12"/>
    </row>
    <row r="49" customFormat="false" ht="15" hidden="false" customHeight="true" outlineLevel="0" collapsed="false">
      <c r="A49" s="7" t="s">
        <v>648</v>
      </c>
      <c r="B49" s="45" t="s">
        <v>649</v>
      </c>
      <c r="C49" s="12" t="s">
        <v>650</v>
      </c>
      <c r="D49" s="12"/>
      <c r="E49" s="12"/>
      <c r="F49" s="12"/>
    </row>
  </sheetData>
  <mergeCells count="14">
    <mergeCell ref="A1:F1"/>
    <mergeCell ref="A2:F2"/>
    <mergeCell ref="C5:F5"/>
    <mergeCell ref="C6:F6"/>
    <mergeCell ref="C7:F7"/>
    <mergeCell ref="C8:F8"/>
    <mergeCell ref="C9:F9"/>
    <mergeCell ref="C43:F43"/>
    <mergeCell ref="C44:F44"/>
    <mergeCell ref="C45:F45"/>
    <mergeCell ref="C46:F46"/>
    <mergeCell ref="C47:F47"/>
    <mergeCell ref="C48:F48"/>
    <mergeCell ref="C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2026-08-03T21:59:46Z</dcterms:created>
  <dc:creator>openpyxl</dc:creator>
  <dc:description/>
  <dc:language>en-US</dc:language>
  <cp:lastModifiedBy/>
  <dcterms:modified xsi:type="dcterms:W3CDTF">2026-08-03T22:33:22Z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